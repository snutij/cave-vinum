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entory" sheetId="1" state="visible" r:id="rId3"/>
  </sheets>
  <definedNames>
    <definedName function="false" hidden="true" localSheetId="0" name="_xlnm._FilterDatabase" vbProcedure="false">Inventaire!$A$1:$L$201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<sst xmlns="http://schemas.openxmlformats.org/spreadsheetml/2006/main" count="17" uniqueCount="17">
  <si>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Producer / Cuvée</t>
  </si>
  <si>
    <t xml:space="preserve">Vintage</t>
  </si>
  <si>
    <t xml:space="preserve">Quantity</t>
  </si>
  <si>
    <t xml:space="preserve">Color</t>
  </si>
  <si>
    <t xml:space="preserve">Appellation / Region</t>
  </si>
  <si>
    <t xml:space="preserve">Drink from</t>
  </si>
  <si>
    <t xml:space="preserve">Drink by</t>
  </si>
  <si>
    <t xml:space="preserve">Status (auto)</t>
  </si>
  <si>
    <t xml:space="preserve">Years left (auto)</t>
  </si>
  <si>
    <t xml:space="preserve">Food pairings</t>
  </si>
  <si>
    <t xml:space="preserve">Location</t>
  </si>
  <si>
    <t xml:space="preserve">Notes / Serving</t>
  </si>
  <si>
    <t xml:space="preserve">Château Nodoz - Cuvée Barriques Neuves</t>
  </si>
  <si>
    <t xml:space="preserve">Red</t>
  </si>
  <si>
    <t xml:space="preserve">Côtes de Bourg (Bordeaux)</t>
  </si>
  <si>
    <t xml:space="preserve">Red meat / Duck, Stew / Game, Hard cheese</t>
  </si>
  <si>
    <t xml:space="preserve">Rich, oaky Merlot · Best with: rib of beef, roast kid, game in sauce · Serve at 16-17 °C, decanting 1 h optional · Guide Hachette 2021: 1★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</si>
</sst>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\+0;\-0;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0"/>
      <color rgb="FF111827"/>
      <name val="Calibri"/>
      <family val="0"/>
      <charset val="1"/>
    </font>
    <font>
      <sz val="10"/>
      <color rgb="FF111827"/>
      <name val="Calibri"/>
      <family val="0"/>
      <charset val="1"/>
    </font>
    <font>
      <b val="true"/>
      <sz val="10"/>
      <color rgb="FF004085"/>
      <name val="Calibri"/>
      <family val="0"/>
      <charset val="1"/>
    </font>
    <font>
      <sz val="10"/>
      <color rgb="FF34405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A2038"/>
        <bgColor rgb="FF881337"/>
      </patternFill>
    </fill>
    <fill>
      <patternFill patternType="solid">
        <fgColor rgb="FF475467"/>
        <bgColor rgb="FF344054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medium">
        <color rgb="FF4A1525"/>
      </top>
      <bottom style="medium">
        <color rgb="FF4A1525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7A20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4085"/>
          <bgColor rgb="FF000000"/>
        </patternFill>
      </fill>
    </dxf>
    <dxf>
      <fill>
        <patternFill patternType="solid">
          <fgColor rgb="FFFCE8EC"/>
          <bgColor rgb="FF000000"/>
        </patternFill>
      </fill>
    </dxf>
    <dxf>
      <fill>
        <patternFill patternType="solid">
          <fgColor rgb="FF881337"/>
          <bgColor rgb="FF000000"/>
        </patternFill>
      </fill>
    </dxf>
    <dxf>
      <fill>
        <patternFill patternType="solid">
          <fgColor rgb="FF475467"/>
          <bgColor rgb="FF000000"/>
        </patternFill>
      </fill>
    </dxf>
    <dxf>
      <fill>
        <patternFill patternType="solid">
          <fgColor rgb="FFDEF7EC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03543F"/>
          <bgColor rgb="FF000000"/>
        </patternFill>
      </fill>
    </dxf>
    <dxf>
      <fill>
        <patternFill patternType="solid">
          <fgColor rgb="FF344054"/>
          <bgColor rgb="FF000000"/>
        </patternFill>
      </fill>
    </dxf>
    <dxf>
      <font>
        <name val="Calibri"/>
        <charset val="1"/>
        <family val="0"/>
        <b val="1"/>
        <color rgb="FF9B1C1C"/>
        <sz val="10"/>
      </font>
      <fill>
        <patternFill>
          <bgColor rgb="FFFDE8E8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03543F"/>
        <sz val="10"/>
      </font>
      <fill>
        <patternFill>
          <bgColor rgb="FFDEF7EC"/>
        </patternFill>
      </fill>
    </dxf>
    <dxf>
      <font>
        <name val="Calibri"/>
        <charset val="1"/>
        <family val="0"/>
        <b val="1"/>
        <color rgb="FF1E429F"/>
        <sz val="10"/>
      </font>
      <fill>
        <patternFill>
          <bgColor rgb="FFE1EFFE"/>
        </patternFill>
      </fill>
    </dxf>
    <dxf>
      <font>
        <name val="Calibri"/>
        <charset val="1"/>
        <family val="0"/>
        <b val="1"/>
        <color rgb="FF5B21B6"/>
        <sz val="10"/>
      </font>
      <fill>
        <patternFill>
          <bgColor rgb="FFEDE9FE"/>
        </patternFill>
      </fill>
    </dxf>
    <dxf>
      <font>
        <name val="Calibri"/>
        <charset val="1"/>
        <family val="0"/>
        <b val="1"/>
        <color rgb="FF6B7280"/>
        <sz val="10"/>
      </font>
      <fill>
        <patternFill>
          <bgColor rgb="FFF3F4F6"/>
        </patternFill>
      </fill>
    </dxf>
    <dxf>
      <font>
        <name val="Calibri"/>
        <charset val="1"/>
        <family val="0"/>
        <b val="1"/>
        <color rgb="FF881337"/>
        <sz val="10"/>
      </font>
      <fill>
        <patternFill>
          <bgColor rgb="FFFCE8EC"/>
        </patternFill>
      </fill>
    </dxf>
    <dxf>
      <font>
        <name val="Calibri"/>
        <charset val="1"/>
        <family val="0"/>
        <b val="1"/>
        <color rgb="FF713F12"/>
        <sz val="10"/>
      </font>
      <fill>
        <patternFill>
          <bgColor rgb="FFFEF9C3"/>
        </patternFill>
      </fill>
    </dxf>
    <dxf>
      <font>
        <name val="Calibri"/>
        <charset val="1"/>
        <family val="0"/>
        <b val="1"/>
        <color rgb="FF075985"/>
        <sz val="10"/>
      </font>
      <fill>
        <patternFill>
          <bgColor rgb="FFE0F2FE"/>
        </patternFill>
      </fill>
    </dxf>
    <dxf>
      <font>
        <name val="Calibri"/>
        <charset val="1"/>
        <family val="0"/>
        <b val="1"/>
        <color rgb="FF9D174D"/>
        <sz val="10"/>
      </font>
      <fill>
        <patternFill>
          <bgColor rgb="FFFCE7F3"/>
        </patternFill>
      </fill>
    </dxf>
    <dxf>
      <font>
        <name val="Calibri"/>
        <charset val="1"/>
        <family val="0"/>
        <b val="1"/>
        <color rgb="FF9B1C1C"/>
        <sz val="10"/>
      </font>
    </dxf>
    <dxf>
      <font>
        <name val="Calibri"/>
        <charset val="1"/>
        <family val="0"/>
        <i val="1"/>
        <color rgb="FF9CA3AF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9FAFB"/>
      <rgbColor rgb="FFFF00FF"/>
      <rgbColor rgb="FF00FFFF"/>
      <rgbColor rgb="FF881337"/>
      <rgbColor rgb="FF03543F"/>
      <rgbColor rgb="FF000080"/>
      <rgbColor rgb="FF713F12"/>
      <rgbColor rgb="FF5B21B6"/>
      <rgbColor rgb="FF008080"/>
      <rgbColor rgb="FFEDE9FE"/>
      <rgbColor rgb="FF475467"/>
      <rgbColor rgb="FF9999FF"/>
      <rgbColor rgb="FF9D174D"/>
      <rgbColor rgb="FFFEF9C3"/>
      <rgbColor rgb="FFDEF7EC"/>
      <rgbColor rgb="FF660066"/>
      <rgbColor rgb="FFFF8080"/>
      <rgbColor rgb="FF075985"/>
      <rgbColor rgb="FFD0D5DD"/>
      <rgbColor rgb="FF000080"/>
      <rgbColor rgb="FFFF00FF"/>
      <rgbColor rgb="FFFFFF00"/>
      <rgbColor rgb="FF00FFFF"/>
      <rgbColor rgb="FF800080"/>
      <rgbColor rgb="FF9B1C1C"/>
      <rgbColor rgb="FF008080"/>
      <rgbColor rgb="FF0000FF"/>
      <rgbColor rgb="FF00CCFF"/>
      <rgbColor rgb="FFE0F2FE"/>
      <rgbColor rgb="FFE1EFFE"/>
      <rgbColor rgb="FFFEF3C7"/>
      <rgbColor rgb="FFF3F4F6"/>
      <rgbColor rgb="FFFCE7F3"/>
      <rgbColor rgb="FFFCE8EC"/>
      <rgbColor rgb="FFFDE8E8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4085"/>
      <rgbColor rgb="FF339966"/>
      <rgbColor rgb="FF111827"/>
      <rgbColor rgb="FF4A1525"/>
      <rgbColor rgb="FF92400E"/>
      <rgbColor rgb="FF7A2038"/>
      <rgbColor rgb="FF1E429F"/>
      <rgbColor rgb="FF3440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28"/>
    <col collapsed="false" customWidth="true" hidden="false" outlineLevel="0" max="7" min="6" style="1" width="13"/>
    <col collapsed="false" customWidth="true" hidden="false" outlineLevel="0" max="8" min="8" style="1" width="24"/>
    <col collapsed="false" customWidth="true" hidden="false" outlineLevel="0" max="9" min="9" style="1" width="16"/>
    <col collapsed="false" customWidth="true" hidden="false" outlineLevel="0" max="10" min="10" style="1" width="36"/>
    <col collapsed="false" customWidth="true" hidden="false" outlineLevel="0" max="11" min="11" style="1" width="13"/>
    <col collapsed="false" customWidth="true" hidden="false" outlineLevel="0" max="12" min="12" style="1" width="60"/>
  </cols>
  <sheetData>
    <row r="1" customFormat="false" ht="27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3" t="s">
        <v>10</v>
      </c>
      <c r="L1" s="2" t="s">
        <v>11</v>
      </c>
    </row>
    <row r="2" customFormat="false" ht="21.75" hidden="false" customHeight="true" outlineLevel="0" collapsed="false">
      <c r="A2" s="5" t="s">
        <v>12</v>
      </c>
      <c r="B2" s="6" t="n">
        <v>2018</v>
      </c>
      <c r="C2" s="7" t="n">
        <v>6</v>
      </c>
      <c r="D2" s="8" t="s">
        <v>13</v>
      </c>
      <c r="E2" s="9" t="s">
        <v>14</v>
      </c>
      <c r="F2" s="6" t="n">
        <v>2024</v>
      </c>
      <c r="G2" s="6" t="n">
        <v>2028</v>
      </c>
      <c r="H2" s="10" t="str">
        <f aca="true">IF(A2="","",IF(AND(ISNUMBER(C2),C2&lt;=0),"6 - Out of stock",IF(OR(NOT(ISNUMBER(C2)),NOT(ISNUMBER(G2)),AND(ISNUMBER(F2),ISNUMBER(G2),F2&gt;G2)),"5 - Missing info",IF(YEAR(TODAY())&gt;G2,"1 - URGENT (past peak)",IF(YEAR(TODAY())=G2,"2 - Drink this year",IF(OR(NOT(ISNUMBER(F2)),YEAR(TODAY())&gt;=F2),"3 - Ready to drink","4 - Hold (too young)"))))))</f>
        <v>3 - Ready to drink</v>
      </c>
      <c r="I2" s="11" t="n">
        <f aca="true">IF(OR(A2="",NOT(ISNUMBER(G2)),AND(ISNUMBER(C2),C2&lt;=0)),"",G2-YEAR(TODAY()))</f>
        <v>2</v>
      </c>
      <c r="J2" s="9" t="s">
        <v>15</v>
      </c>
      <c r="K2" s="8"/>
      <c r="L2" s="9" t="s">
        <v>16</v>
      </c>
    </row>
    <row r="3" customFormat="false" ht="21.75" hidden="false" customHeight="true" outlineLevel="0" collapsed="false">
      <c r="A3" s="5"/>
      <c r="B3" s="6"/>
      <c r="C3" s="7"/>
      <c r="D3" s="8"/>
      <c r="E3" s="9"/>
      <c r="F3" s="6"/>
      <c r="G3" s="6"/>
      <c r="H3" s="10" t="str">
        <f aca="true">IF(A3="","",IF(AND(ISNUMBER(C3),C3&lt;=0),"6 - Out of stock",IF(OR(NOT(ISNUMBER(C3)),NOT(ISNUMBER(G3)),AND(ISNUMBER(F3),ISNUMBER(G3),F3&gt;G3)),"5 - Missing info",IF(YEAR(TODAY())&gt;G3,"1 - URGENT (past peak)",IF(YEAR(TODAY())=G3,"2 - Drink this year",IF(OR(NOT(ISNUMBER(F3)),YEAR(TODAY())&gt;=F3),"3 - Ready to drink","4 - Hold (too young)"))))))</f>
        <v/>
      </c>
      <c r="I3" s="11" t="str">
        <f aca="true">IF(OR(A3="",NOT(ISNUMBER(G3)),AND(ISNUMBER(C3),C3&lt;=0)),"",G3-YEAR(TODAY()))</f>
        <v/>
      </c>
      <c r="J3" s="9"/>
      <c r="K3" s="8"/>
      <c r="L3" s="9"/>
    </row>
    <row r="4" customFormat="false" ht="21.75" hidden="false" customHeight="true" outlineLevel="0" collapsed="false">
      <c r="A4" s="5"/>
      <c r="B4" s="6"/>
      <c r="C4" s="7"/>
      <c r="D4" s="8"/>
      <c r="E4" s="9"/>
      <c r="F4" s="6"/>
      <c r="G4" s="6"/>
      <c r="H4" s="10" t="str">
        <f aca="true">IF(A4="","",IF(AND(ISNUMBER(C4),C4&lt;=0),"6 - Out of stock",IF(OR(NOT(ISNUMBER(C4)),NOT(ISNUMBER(G4)),AND(ISNUMBER(F4),ISNUMBER(G4),F4&gt;G4)),"5 - Missing info",IF(YEAR(TODAY())&gt;G4,"1 - URGENT (past peak)",IF(YEAR(TODAY())=G4,"2 - Drink this year",IF(OR(NOT(ISNUMBER(F4)),YEAR(TODAY())&gt;=F4),"3 - Ready to drink","4 - Hold (too young)"))))))</f>
        <v/>
      </c>
      <c r="I4" s="11" t="str">
        <f aca="true">IF(OR(A4="",NOT(ISNUMBER(G4)),AND(ISNUMBER(C4),C4&lt;=0)),"",G4-YEAR(TODAY()))</f>
        <v/>
      </c>
      <c r="J4" s="9"/>
      <c r="K4" s="8"/>
      <c r="L4" s="9"/>
    </row>
    <row r="5" customFormat="false" ht="21.75" hidden="false" customHeight="true" outlineLevel="0" collapsed="false">
      <c r="A5" s="5"/>
      <c r="B5" s="6"/>
      <c r="C5" s="7"/>
      <c r="D5" s="8"/>
      <c r="E5" s="9"/>
      <c r="F5" s="6"/>
      <c r="G5" s="6"/>
      <c r="H5" s="10" t="str">
        <f aca="true">IF(A5="","",IF(AND(ISNUMBER(C5),C5&lt;=0),"6 - Out of stock",IF(OR(NOT(ISNUMBER(C5)),NOT(ISNUMBER(G5)),AND(ISNUMBER(F5),ISNUMBER(G5),F5&gt;G5)),"5 - Missing info",IF(YEAR(TODAY())&gt;G5,"1 - URGENT (past peak)",IF(YEAR(TODAY())=G5,"2 - Drink this year",IF(OR(NOT(ISNUMBER(F5)),YEAR(TODAY())&gt;=F5),"3 - Ready to drink","4 - Hold (too young)"))))))</f>
        <v/>
      </c>
      <c r="I5" s="11" t="str">
        <f aca="true">IF(OR(A5="",NOT(ISNUMBER(G5)),AND(ISNUMBER(C5),C5&lt;=0)),"",G5-YEAR(TODAY()))</f>
        <v/>
      </c>
      <c r="J5" s="9"/>
      <c r="K5" s="8"/>
      <c r="L5" s="9"/>
    </row>
    <row r="6" customFormat="false" ht="21.75" hidden="false" customHeight="true" outlineLevel="0" collapsed="false">
      <c r="A6" s="5"/>
      <c r="B6" s="6"/>
      <c r="C6" s="7"/>
      <c r="D6" s="8"/>
      <c r="E6" s="9"/>
      <c r="F6" s="6"/>
      <c r="G6" s="6"/>
      <c r="H6" s="10" t="str">
        <f aca="true">IF(A6="","",IF(AND(ISNUMBER(C6),C6&lt;=0),"6 - Out of stock",IF(OR(NOT(ISNUMBER(C6)),NOT(ISNUMBER(G6)),AND(ISNUMBER(F6),ISNUMBER(G6),F6&gt;G6)),"5 - Missing info",IF(YEAR(TODAY())&gt;G6,"1 - URGENT (past peak)",IF(YEAR(TODAY())=G6,"2 - Drink this year",IF(OR(NOT(ISNUMBER(F6)),YEAR(TODAY())&gt;=F6),"3 - Ready to drink","4 - Hold (too young)"))))))</f>
        <v/>
      </c>
      <c r="I6" s="11" t="str">
        <f aca="true">IF(OR(A6="",NOT(ISNUMBER(G6)),AND(ISNUMBER(C6),C6&lt;=0)),"",G6-YEAR(TODAY()))</f>
        <v/>
      </c>
      <c r="J6" s="9"/>
      <c r="K6" s="8"/>
      <c r="L6" s="9"/>
    </row>
    <row r="7" customFormat="false" ht="21.75" hidden="false" customHeight="true" outlineLevel="0" collapsed="false">
      <c r="A7" s="5"/>
      <c r="B7" s="6"/>
      <c r="C7" s="7"/>
      <c r="D7" s="8"/>
      <c r="E7" s="9"/>
      <c r="F7" s="6"/>
      <c r="G7" s="6"/>
      <c r="H7" s="10" t="str">
        <f aca="true">IF(A7="","",IF(AND(ISNUMBER(C7),C7&lt;=0),"6 - Out of stock",IF(OR(NOT(ISNUMBER(C7)),NOT(ISNUMBER(G7)),AND(ISNUMBER(F7),ISNUMBER(G7),F7&gt;G7)),"5 - Missing info",IF(YEAR(TODAY())&gt;G7,"1 - URGENT (past peak)",IF(YEAR(TODAY())=G7,"2 - Drink this year",IF(OR(NOT(ISNUMBER(F7)),YEAR(TODAY())&gt;=F7),"3 - Ready to drink","4 - Hold (too young)"))))))</f>
        <v/>
      </c>
      <c r="I7" s="11" t="str">
        <f aca="true">IF(OR(A7="",NOT(ISNUMBER(G7)),AND(ISNUMBER(C7),C7&lt;=0)),"",G7-YEAR(TODAY()))</f>
        <v/>
      </c>
      <c r="J7" s="9"/>
      <c r="K7" s="8"/>
      <c r="L7" s="9"/>
    </row>
    <row r="8" customFormat="false" ht="21.75" hidden="false" customHeight="true" outlineLevel="0" collapsed="false">
      <c r="A8" s="5"/>
      <c r="B8" s="6"/>
      <c r="C8" s="7"/>
      <c r="D8" s="8"/>
      <c r="E8" s="9"/>
      <c r="F8" s="6"/>
      <c r="G8" s="6"/>
      <c r="H8" s="10" t="str">
        <f aca="true">IF(A8="","",IF(AND(ISNUMBER(C8),C8&lt;=0),"6 - Out of stock",IF(OR(NOT(ISNUMBER(C8)),NOT(ISNUMBER(G8)),AND(ISNUMBER(F8),ISNUMBER(G8),F8&gt;G8)),"5 - Missing info",IF(YEAR(TODAY())&gt;G8,"1 - URGENT (past peak)",IF(YEAR(TODAY())=G8,"2 - Drink this year",IF(OR(NOT(ISNUMBER(F8)),YEAR(TODAY())&gt;=F8),"3 - Ready to drink","4 - Hold (too young)"))))))</f>
        <v/>
      </c>
      <c r="I8" s="11" t="str">
        <f aca="true">IF(OR(A8="",NOT(ISNUMBER(G8)),AND(ISNUMBER(C8),C8&lt;=0)),"",G8-YEAR(TODAY()))</f>
        <v/>
      </c>
      <c r="J8" s="9"/>
      <c r="K8" s="8"/>
      <c r="L8" s="9"/>
    </row>
    <row r="9" customFormat="false" ht="21.75" hidden="false" customHeight="true" outlineLevel="0" collapsed="false">
      <c r="A9" s="5"/>
      <c r="B9" s="6"/>
      <c r="C9" s="7"/>
      <c r="D9" s="8"/>
      <c r="E9" s="9"/>
      <c r="F9" s="6"/>
      <c r="G9" s="6"/>
      <c r="H9" s="10" t="str">
        <f aca="true">IF(A9="","",IF(AND(ISNUMBER(C9),C9&lt;=0),"6 - Out of stock",IF(OR(NOT(ISNUMBER(C9)),NOT(ISNUMBER(G9)),AND(ISNUMBER(F9),ISNUMBER(G9),F9&gt;G9)),"5 - Missing info",IF(YEAR(TODAY())&gt;G9,"1 - URGENT (past peak)",IF(YEAR(TODAY())=G9,"2 - Drink this year",IF(OR(NOT(ISNUMBER(F9)),YEAR(TODAY())&gt;=F9),"3 - Ready to drink","4 - Hold (too young)"))))))</f>
        <v/>
      </c>
      <c r="I9" s="11" t="str">
        <f aca="true">IF(OR(A9="",NOT(ISNUMBER(G9)),AND(ISNUMBER(C9),C9&lt;=0)),"",G9-YEAR(TODAY()))</f>
        <v/>
      </c>
      <c r="J9" s="9"/>
      <c r="K9" s="8"/>
      <c r="L9" s="9"/>
    </row>
    <row r="10" customFormat="false" ht="21.75" hidden="false" customHeight="true" outlineLevel="0" collapsed="false">
      <c r="A10" s="5"/>
      <c r="B10" s="6"/>
      <c r="C10" s="7"/>
      <c r="D10" s="8"/>
      <c r="E10" s="9"/>
      <c r="F10" s="6"/>
      <c r="G10" s="6"/>
      <c r="H10" s="10" t="str">
        <f aca="true">IF(A10="","",IF(AND(ISNUMBER(C10),C10&lt;=0),"6 - Out of stock",IF(OR(NOT(ISNUMBER(C10)),NOT(ISNUMBER(G10)),AND(ISNUMBER(F10),ISNUMBER(G10),F10&gt;G10)),"5 - Missing info",IF(YEAR(TODAY())&gt;G10,"1 - URGENT (past peak)",IF(YEAR(TODAY())=G10,"2 - Drink this year",IF(OR(NOT(ISNUMBER(F10)),YEAR(TODAY())&gt;=F10),"3 - Ready to drink","4 - Hold (too young)"))))))</f>
        <v/>
      </c>
      <c r="I10" s="11" t="str">
        <f aca="true">IF(OR(A10="",NOT(ISNUMBER(G10)),AND(ISNUMBER(C10),C10&lt;=0)),"",G10-YEAR(TODAY()))</f>
        <v/>
      </c>
      <c r="J10" s="9"/>
      <c r="K10" s="8"/>
      <c r="L10" s="9"/>
    </row>
    <row r="11" customFormat="false" ht="21.75" hidden="false" customHeight="true" outlineLevel="0" collapsed="false">
      <c r="A11" s="5"/>
      <c r="B11" s="6"/>
      <c r="C11" s="7"/>
      <c r="D11" s="8"/>
      <c r="E11" s="9"/>
      <c r="F11" s="6"/>
      <c r="G11" s="6"/>
      <c r="H11" s="10" t="str">
        <f aca="true">IF(A11="","",IF(AND(ISNUMBER(C11),C11&lt;=0),"6 - Out of stock",IF(OR(NOT(ISNUMBER(C11)),NOT(ISNUMBER(G11)),AND(ISNUMBER(F11),ISNUMBER(G11),F11&gt;G11)),"5 - Missing info",IF(YEAR(TODAY())&gt;G11,"1 - URGENT (past peak)",IF(YEAR(TODAY())=G11,"2 - Drink this year",IF(OR(NOT(ISNUMBER(F11)),YEAR(TODAY())&gt;=F11),"3 - Ready to drink","4 - Hold (too young)"))))))</f>
        <v/>
      </c>
      <c r="I11" s="11" t="str">
        <f aca="true">IF(OR(A11="",NOT(ISNUMBER(G11)),AND(ISNUMBER(C11),C11&lt;=0)),"",G11-YEAR(TODAY()))</f>
        <v/>
      </c>
      <c r="J11" s="9"/>
      <c r="K11" s="8"/>
      <c r="L11" s="9"/>
    </row>
    <row r="12" customFormat="false" ht="21.75" hidden="false" customHeight="true" outlineLevel="0" collapsed="false">
      <c r="A12" s="5"/>
      <c r="B12" s="6"/>
      <c r="C12" s="7"/>
      <c r="D12" s="8"/>
      <c r="E12" s="9"/>
      <c r="F12" s="6"/>
      <c r="G12" s="6"/>
      <c r="H12" s="10" t="str">
        <f aca="true">IF(A12="","",IF(AND(ISNUMBER(C12),C12&lt;=0),"6 - Out of stock",IF(OR(NOT(ISNUMBER(C12)),NOT(ISNUMBER(G12)),AND(ISNUMBER(F12),ISNUMBER(G12),F12&gt;G12)),"5 - Missing info",IF(YEAR(TODAY())&gt;G12,"1 - URGENT (past peak)",IF(YEAR(TODAY())=G12,"2 - Drink this year",IF(OR(NOT(ISNUMBER(F12)),YEAR(TODAY())&gt;=F12),"3 - Ready to drink","4 - Hold (too young)"))))))</f>
        <v/>
      </c>
      <c r="I12" s="11" t="str">
        <f aca="true">IF(OR(A12="",NOT(ISNUMBER(G12)),AND(ISNUMBER(C12),C12&lt;=0)),"",G12-YEAR(TODAY()))</f>
        <v/>
      </c>
      <c r="J12" s="9"/>
      <c r="K12" s="8"/>
      <c r="L12" s="9"/>
    </row>
    <row r="13" customFormat="false" ht="21.75" hidden="false" customHeight="true" outlineLevel="0" collapsed="false">
      <c r="A13" s="5"/>
      <c r="B13" s="6"/>
      <c r="C13" s="7"/>
      <c r="D13" s="8"/>
      <c r="E13" s="9"/>
      <c r="F13" s="6"/>
      <c r="G13" s="6"/>
      <c r="H13" s="10" t="str">
        <f aca="true">IF(A13="","",IF(AND(ISNUMBER(C13),C13&lt;=0),"6 - Out of stock",IF(OR(NOT(ISNUMBER(C13)),NOT(ISNUMBER(G13)),AND(ISNUMBER(F13),ISNUMBER(G13),F13&gt;G13)),"5 - Missing info",IF(YEAR(TODAY())&gt;G13,"1 - URGENT (past peak)",IF(YEAR(TODAY())=G13,"2 - Drink this year",IF(OR(NOT(ISNUMBER(F13)),YEAR(TODAY())&gt;=F13),"3 - Ready to drink","4 - Hold (too young)"))))))</f>
        <v/>
      </c>
      <c r="I13" s="11" t="str">
        <f aca="true">IF(OR(A13="",NOT(ISNUMBER(G13)),AND(ISNUMBER(C13),C13&lt;=0)),"",G13-YEAR(TODAY()))</f>
        <v/>
      </c>
      <c r="J13" s="9"/>
      <c r="K13" s="8"/>
      <c r="L13" s="9"/>
    </row>
    <row r="14" customFormat="false" ht="21.75" hidden="false" customHeight="true" outlineLevel="0" collapsed="false">
      <c r="A14" s="5"/>
      <c r="B14" s="6"/>
      <c r="C14" s="7"/>
      <c r="D14" s="8"/>
      <c r="E14" s="9"/>
      <c r="F14" s="6"/>
      <c r="G14" s="6"/>
      <c r="H14" s="10" t="str">
        <f aca="true">IF(A14="","",IF(AND(ISNUMBER(C14),C14&lt;=0),"6 - Out of stock",IF(OR(NOT(ISNUMBER(C14)),NOT(ISNUMBER(G14)),AND(ISNUMBER(F14),ISNUMBER(G14),F14&gt;G14)),"5 - Missing info",IF(YEAR(TODAY())&gt;G14,"1 - URGENT (past peak)",IF(YEAR(TODAY())=G14,"2 - Drink this year",IF(OR(NOT(ISNUMBER(F14)),YEAR(TODAY())&gt;=F14),"3 - Ready to drink","4 - Hold (too young)"))))))</f>
        <v/>
      </c>
      <c r="I14" s="11" t="str">
        <f aca="true">IF(OR(A14="",NOT(ISNUMBER(G14)),AND(ISNUMBER(C14),C14&lt;=0)),"",G14-YEAR(TODAY()))</f>
        <v/>
      </c>
      <c r="J14" s="9"/>
      <c r="K14" s="8"/>
      <c r="L14" s="9"/>
    </row>
    <row r="15" customFormat="false" ht="21.75" hidden="false" customHeight="true" outlineLevel="0" collapsed="false">
      <c r="A15" s="5"/>
      <c r="B15" s="6"/>
      <c r="C15" s="7"/>
      <c r="D15" s="8"/>
      <c r="E15" s="9"/>
      <c r="F15" s="6"/>
      <c r="G15" s="6"/>
      <c r="H15" s="10" t="str">
        <f aca="true">IF(A15="","",IF(AND(ISNUMBER(C15),C15&lt;=0),"6 - Out of stock",IF(OR(NOT(ISNUMBER(C15)),NOT(ISNUMBER(G15)),AND(ISNUMBER(F15),ISNUMBER(G15),F15&gt;G15)),"5 - Missing info",IF(YEAR(TODAY())&gt;G15,"1 - URGENT (past peak)",IF(YEAR(TODAY())=G15,"2 - Drink this year",IF(OR(NOT(ISNUMBER(F15)),YEAR(TODAY())&gt;=F15),"3 - Ready to drink","4 - Hold (too young)"))))))</f>
        <v/>
      </c>
      <c r="I15" s="11" t="str">
        <f aca="true">IF(OR(A15="",NOT(ISNUMBER(G15)),AND(ISNUMBER(C15),C15&lt;=0)),"",G15-YEAR(TODAY()))</f>
        <v/>
      </c>
      <c r="J15" s="9"/>
      <c r="K15" s="8"/>
      <c r="L15" s="9"/>
    </row>
    <row r="16" customFormat="false" ht="21.75" hidden="false" customHeight="true" outlineLevel="0" collapsed="false">
      <c r="A16" s="5"/>
      <c r="B16" s="6"/>
      <c r="C16" s="7"/>
      <c r="D16" s="8"/>
      <c r="E16" s="9"/>
      <c r="F16" s="6"/>
      <c r="G16" s="6"/>
      <c r="H16" s="10" t="str">
        <f aca="true">IF(A16="","",IF(AND(ISNUMBER(C16),C16&lt;=0),"6 - Out of stock",IF(OR(NOT(ISNUMBER(C16)),NOT(ISNUMBER(G16)),AND(ISNUMBER(F16),ISNUMBER(G16),F16&gt;G16)),"5 - Missing info",IF(YEAR(TODAY())&gt;G16,"1 - URGENT (past peak)",IF(YEAR(TODAY())=G16,"2 - Drink this year",IF(OR(NOT(ISNUMBER(F16)),YEAR(TODAY())&gt;=F16),"3 - Ready to drink","4 - Hold (too young)"))))))</f>
        <v/>
      </c>
      <c r="I16" s="11" t="str">
        <f aca="true">IF(OR(A16="",NOT(ISNUMBER(G16)),AND(ISNUMBER(C16),C16&lt;=0)),"",G16-YEAR(TODAY()))</f>
        <v/>
      </c>
      <c r="J16" s="9"/>
      <c r="K16" s="8"/>
      <c r="L16" s="9"/>
    </row>
    <row r="17" customFormat="false" ht="21.75" hidden="false" customHeight="true" outlineLevel="0" collapsed="false">
      <c r="A17" s="5"/>
      <c r="B17" s="6"/>
      <c r="C17" s="7"/>
      <c r="D17" s="8"/>
      <c r="E17" s="9"/>
      <c r="F17" s="6"/>
      <c r="G17" s="6"/>
      <c r="H17" s="10" t="str">
        <f aca="true">IF(A17="","",IF(AND(ISNUMBER(C17),C17&lt;=0),"6 - Out of stock",IF(OR(NOT(ISNUMBER(C17)),NOT(ISNUMBER(G17)),AND(ISNUMBER(F17),ISNUMBER(G17),F17&gt;G17)),"5 - Missing info",IF(YEAR(TODAY())&gt;G17,"1 - URGENT (past peak)",IF(YEAR(TODAY())=G17,"2 - Drink this year",IF(OR(NOT(ISNUMBER(F17)),YEAR(TODAY())&gt;=F17),"3 - Ready to drink","4 - Hold (too young)"))))))</f>
        <v/>
      </c>
      <c r="I17" s="11" t="str">
        <f aca="true">IF(OR(A17="",NOT(ISNUMBER(G17)),AND(ISNUMBER(C17),C17&lt;=0)),"",G17-YEAR(TODAY()))</f>
        <v/>
      </c>
      <c r="J17" s="9"/>
      <c r="K17" s="8"/>
      <c r="L17" s="9"/>
    </row>
    <row r="18" customFormat="false" ht="21.75" hidden="false" customHeight="true" outlineLevel="0" collapsed="false">
      <c r="A18" s="5"/>
      <c r="B18" s="6"/>
      <c r="C18" s="7"/>
      <c r="D18" s="8"/>
      <c r="E18" s="9"/>
      <c r="F18" s="6"/>
      <c r="G18" s="6"/>
      <c r="H18" s="10" t="str">
        <f aca="true">IF(A18="","",IF(AND(ISNUMBER(C18),C18&lt;=0),"6 - Out of stock",IF(OR(NOT(ISNUMBER(C18)),NOT(ISNUMBER(G18)),AND(ISNUMBER(F18),ISNUMBER(G18),F18&gt;G18)),"5 - Missing info",IF(YEAR(TODAY())&gt;G18,"1 - URGENT (past peak)",IF(YEAR(TODAY())=G18,"2 - Drink this year",IF(OR(NOT(ISNUMBER(F18)),YEAR(TODAY())&gt;=F18),"3 - Ready to drink","4 - Hold (too young)"))))))</f>
        <v/>
      </c>
      <c r="I18" s="11" t="str">
        <f aca="true">IF(OR(A18="",NOT(ISNUMBER(G18)),AND(ISNUMBER(C18),C18&lt;=0)),"",G18-YEAR(TODAY()))</f>
        <v/>
      </c>
      <c r="J18" s="9"/>
      <c r="K18" s="8"/>
      <c r="L18" s="9"/>
    </row>
    <row r="19" customFormat="false" ht="21.75" hidden="false" customHeight="true" outlineLevel="0" collapsed="false">
      <c r="A19" s="5"/>
      <c r="B19" s="6"/>
      <c r="C19" s="7"/>
      <c r="D19" s="8"/>
      <c r="E19" s="9"/>
      <c r="F19" s="6"/>
      <c r="G19" s="6"/>
      <c r="H19" s="10" t="str">
        <f aca="true">IF(A19="","",IF(AND(ISNUMBER(C19),C19&lt;=0),"6 - Out of stock",IF(OR(NOT(ISNUMBER(C19)),NOT(ISNUMBER(G19)),AND(ISNUMBER(F19),ISNUMBER(G19),F19&gt;G19)),"5 - Missing info",IF(YEAR(TODAY())&gt;G19,"1 - URGENT (past peak)",IF(YEAR(TODAY())=G19,"2 - Drink this year",IF(OR(NOT(ISNUMBER(F19)),YEAR(TODAY())&gt;=F19),"3 - Ready to drink","4 - Hold (too young)"))))))</f>
        <v/>
      </c>
      <c r="I19" s="11" t="str">
        <f aca="true">IF(OR(A19="",NOT(ISNUMBER(G19)),AND(ISNUMBER(C19),C19&lt;=0)),"",G19-YEAR(TODAY()))</f>
        <v/>
      </c>
      <c r="J19" s="9"/>
      <c r="K19" s="8"/>
      <c r="L19" s="9"/>
    </row>
    <row r="20" customFormat="false" ht="21.75" hidden="false" customHeight="true" outlineLevel="0" collapsed="false">
      <c r="A20" s="5"/>
      <c r="B20" s="6"/>
      <c r="C20" s="7"/>
      <c r="D20" s="8"/>
      <c r="E20" s="9"/>
      <c r="F20" s="6"/>
      <c r="G20" s="6"/>
      <c r="H20" s="10" t="str">
        <f aca="true">IF(A20="","",IF(AND(ISNUMBER(C20),C20&lt;=0),"6 - Out of stock",IF(OR(NOT(ISNUMBER(C20)),NOT(ISNUMBER(G20)),AND(ISNUMBER(F20),ISNUMBER(G20),F20&gt;G20)),"5 - Missing info",IF(YEAR(TODAY())&gt;G20,"1 - URGENT (past peak)",IF(YEAR(TODAY())=G20,"2 - Drink this year",IF(OR(NOT(ISNUMBER(F20)),YEAR(TODAY())&gt;=F20),"3 - Ready to drink","4 - Hold (too young)"))))))</f>
        <v/>
      </c>
      <c r="I20" s="11" t="str">
        <f aca="true">IF(OR(A20="",NOT(ISNUMBER(G20)),AND(ISNUMBER(C20),C20&lt;=0)),"",G20-YEAR(TODAY()))</f>
        <v/>
      </c>
      <c r="J20" s="9"/>
      <c r="K20" s="8"/>
      <c r="L20" s="9"/>
    </row>
    <row r="21" customFormat="false" ht="21.75" hidden="false" customHeight="true" outlineLevel="0" collapsed="false">
      <c r="A21" s="5"/>
      <c r="B21" s="6"/>
      <c r="C21" s="7"/>
      <c r="D21" s="8"/>
      <c r="E21" s="9"/>
      <c r="F21" s="6"/>
      <c r="G21" s="6"/>
      <c r="H21" s="10" t="str">
        <f aca="true">IF(A21="","",IF(AND(ISNUMBER(C21),C21&lt;=0),"6 - Out of stock",IF(OR(NOT(ISNUMBER(C21)),NOT(ISNUMBER(G21)),AND(ISNUMBER(F21),ISNUMBER(G21),F21&gt;G21)),"5 - Missing info",IF(YEAR(TODAY())&gt;G21,"1 - URGENT (past peak)",IF(YEAR(TODAY())=G21,"2 - Drink this year",IF(OR(NOT(ISNUMBER(F21)),YEAR(TODAY())&gt;=F21),"3 - Ready to drink","4 - Hold (too young)"))))))</f>
        <v/>
      </c>
      <c r="I21" s="11" t="str">
        <f aca="true">IF(OR(A21="",NOT(ISNUMBER(G21)),AND(ISNUMBER(C21),C21&lt;=0)),"",G21-YEAR(TODAY()))</f>
        <v/>
      </c>
      <c r="J21" s="9"/>
      <c r="K21" s="8"/>
      <c r="L21" s="9"/>
    </row>
    <row r="22" customFormat="false" ht="21.75" hidden="false" customHeight="true" outlineLevel="0" collapsed="false">
      <c r="A22" s="5"/>
      <c r="B22" s="6"/>
      <c r="C22" s="7"/>
      <c r="D22" s="8"/>
      <c r="E22" s="9"/>
      <c r="F22" s="6"/>
      <c r="G22" s="6"/>
      <c r="H22" s="10" t="str">
        <f aca="true">IF(A22="","",IF(AND(ISNUMBER(C22),C22&lt;=0),"6 - Out of stock",IF(OR(NOT(ISNUMBER(C22)),NOT(ISNUMBER(G22)),AND(ISNUMBER(F22),ISNUMBER(G22),F22&gt;G22)),"5 - Missing info",IF(YEAR(TODAY())&gt;G22,"1 - URGENT (past peak)",IF(YEAR(TODAY())=G22,"2 - Drink this year",IF(OR(NOT(ISNUMBER(F22)),YEAR(TODAY())&gt;=F22),"3 - Ready to drink","4 - Hold (too young)"))))))</f>
        <v/>
      </c>
      <c r="I22" s="11" t="str">
        <f aca="true">IF(OR(A22="",NOT(ISNUMBER(G22)),AND(ISNUMBER(C22),C22&lt;=0)),"",G22-YEAR(TODAY()))</f>
        <v/>
      </c>
      <c r="J22" s="9"/>
      <c r="K22" s="8"/>
      <c r="L22" s="9"/>
    </row>
    <row r="23" customFormat="false" ht="21.75" hidden="false" customHeight="true" outlineLevel="0" collapsed="false">
      <c r="A23" s="5"/>
      <c r="B23" s="6"/>
      <c r="C23" s="7"/>
      <c r="D23" s="8"/>
      <c r="E23" s="9"/>
      <c r="F23" s="6"/>
      <c r="G23" s="6"/>
      <c r="H23" s="10" t="str">
        <f aca="true">IF(A23="","",IF(AND(ISNUMBER(C23),C23&lt;=0),"6 - Out of stock",IF(OR(NOT(ISNUMBER(C23)),NOT(ISNUMBER(G23)),AND(ISNUMBER(F23),ISNUMBER(G23),F23&gt;G23)),"5 - Missing info",IF(YEAR(TODAY())&gt;G23,"1 - URGENT (past peak)",IF(YEAR(TODAY())=G23,"2 - Drink this year",IF(OR(NOT(ISNUMBER(F23)),YEAR(TODAY())&gt;=F23),"3 - Ready to drink","4 - Hold (too young)"))))))</f>
        <v/>
      </c>
      <c r="I23" s="11" t="str">
        <f aca="true">IF(OR(A23="",NOT(ISNUMBER(G23)),AND(ISNUMBER(C23),C23&lt;=0)),"",G23-YEAR(TODAY()))</f>
        <v/>
      </c>
      <c r="J23" s="9"/>
      <c r="K23" s="8"/>
      <c r="L23" s="9"/>
    </row>
    <row r="24" customFormat="false" ht="21.75" hidden="false" customHeight="true" outlineLevel="0" collapsed="false">
      <c r="A24" s="5"/>
      <c r="B24" s="6"/>
      <c r="C24" s="7"/>
      <c r="D24" s="8"/>
      <c r="E24" s="9"/>
      <c r="F24" s="6"/>
      <c r="G24" s="6"/>
      <c r="H24" s="10" t="str">
        <f aca="true">IF(A24="","",IF(AND(ISNUMBER(C24),C24&lt;=0),"6 - Out of stock",IF(OR(NOT(ISNUMBER(C24)),NOT(ISNUMBER(G24)),AND(ISNUMBER(F24),ISNUMBER(G24),F24&gt;G24)),"5 - Missing info",IF(YEAR(TODAY())&gt;G24,"1 - URGENT (past peak)",IF(YEAR(TODAY())=G24,"2 - Drink this year",IF(OR(NOT(ISNUMBER(F24)),YEAR(TODAY())&gt;=F24),"3 - Ready to drink","4 - Hold (too young)"))))))</f>
        <v/>
      </c>
      <c r="I24" s="11" t="str">
        <f aca="true">IF(OR(A24="",NOT(ISNUMBER(G24)),AND(ISNUMBER(C24),C24&lt;=0)),"",G24-YEAR(TODAY()))</f>
        <v/>
      </c>
      <c r="J24" s="9"/>
      <c r="K24" s="8"/>
      <c r="L24" s="9"/>
    </row>
    <row r="25" customFormat="false" ht="21.75" hidden="false" customHeight="true" outlineLevel="0" collapsed="false">
      <c r="A25" s="5"/>
      <c r="B25" s="6"/>
      <c r="C25" s="7"/>
      <c r="D25" s="8"/>
      <c r="E25" s="9"/>
      <c r="F25" s="6"/>
      <c r="G25" s="6"/>
      <c r="H25" s="10" t="str">
        <f aca="true">IF(A25="","",IF(AND(ISNUMBER(C25),C25&lt;=0),"6 - Out of stock",IF(OR(NOT(ISNUMBER(C25)),NOT(ISNUMBER(G25)),AND(ISNUMBER(F25),ISNUMBER(G25),F25&gt;G25)),"5 - Missing info",IF(YEAR(TODAY())&gt;G25,"1 - URGENT (past peak)",IF(YEAR(TODAY())=G25,"2 - Drink this year",IF(OR(NOT(ISNUMBER(F25)),YEAR(TODAY())&gt;=F25),"3 - Ready to drink","4 - Hold (too young)"))))))</f>
        <v/>
      </c>
      <c r="I25" s="11" t="str">
        <f aca="true">IF(OR(A25="",NOT(ISNUMBER(G25)),AND(ISNUMBER(C25),C25&lt;=0)),"",G25-YEAR(TODAY()))</f>
        <v/>
      </c>
      <c r="J25" s="9"/>
      <c r="K25" s="8"/>
      <c r="L25" s="9"/>
    </row>
    <row r="26" customFormat="false" ht="21.75" hidden="false" customHeight="true" outlineLevel="0" collapsed="false">
      <c r="A26" s="5"/>
      <c r="B26" s="6"/>
      <c r="C26" s="7"/>
      <c r="D26" s="8"/>
      <c r="E26" s="9"/>
      <c r="F26" s="6"/>
      <c r="G26" s="6"/>
      <c r="H26" s="10" t="str">
        <f aca="true">IF(A26="","",IF(AND(ISNUMBER(C26),C26&lt;=0),"6 - Out of stock",IF(OR(NOT(ISNUMBER(C26)),NOT(ISNUMBER(G26)),AND(ISNUMBER(F26),ISNUMBER(G26),F26&gt;G26)),"5 - Missing info",IF(YEAR(TODAY())&gt;G26,"1 - URGENT (past peak)",IF(YEAR(TODAY())=G26,"2 - Drink this year",IF(OR(NOT(ISNUMBER(F26)),YEAR(TODAY())&gt;=F26),"3 - Ready to drink","4 - Hold (too young)"))))))</f>
        <v/>
      </c>
      <c r="I26" s="11" t="str">
        <f aca="true">IF(OR(A26="",NOT(ISNUMBER(G26)),AND(ISNUMBER(C26),C26&lt;=0)),"",G26-YEAR(TODAY()))</f>
        <v/>
      </c>
      <c r="J26" s="9"/>
      <c r="K26" s="8"/>
      <c r="L26" s="9"/>
    </row>
    <row r="27" customFormat="false" ht="21.75" hidden="false" customHeight="true" outlineLevel="0" collapsed="false">
      <c r="A27" s="5"/>
      <c r="B27" s="6"/>
      <c r="C27" s="7"/>
      <c r="D27" s="8"/>
      <c r="E27" s="9"/>
      <c r="F27" s="6"/>
      <c r="G27" s="6"/>
      <c r="H27" s="10" t="str">
        <f aca="true">IF(A27="","",IF(AND(ISNUMBER(C27),C27&lt;=0),"6 - Out of stock",IF(OR(NOT(ISNUMBER(C27)),NOT(ISNUMBER(G27)),AND(ISNUMBER(F27),ISNUMBER(G27),F27&gt;G27)),"5 - Missing info",IF(YEAR(TODAY())&gt;G27,"1 - URGENT (past peak)",IF(YEAR(TODAY())=G27,"2 - Drink this year",IF(OR(NOT(ISNUMBER(F27)),YEAR(TODAY())&gt;=F27),"3 - Ready to drink","4 - Hold (too young)"))))))</f>
        <v/>
      </c>
      <c r="I27" s="11" t="str">
        <f aca="true">IF(OR(A27="",NOT(ISNUMBER(G27)),AND(ISNUMBER(C27),C27&lt;=0)),"",G27-YEAR(TODAY()))</f>
        <v/>
      </c>
      <c r="J27" s="9"/>
      <c r="K27" s="8"/>
      <c r="L27" s="9"/>
    </row>
    <row r="28" customFormat="false" ht="21.75" hidden="false" customHeight="true" outlineLevel="0" collapsed="false">
      <c r="A28" s="5"/>
      <c r="B28" s="6"/>
      <c r="C28" s="7"/>
      <c r="D28" s="8"/>
      <c r="E28" s="9"/>
      <c r="F28" s="6"/>
      <c r="G28" s="6"/>
      <c r="H28" s="10" t="str">
        <f aca="true">IF(A28="","",IF(AND(ISNUMBER(C28),C28&lt;=0),"6 - Out of stock",IF(OR(NOT(ISNUMBER(C28)),NOT(ISNUMBER(G28)),AND(ISNUMBER(F28),ISNUMBER(G28),F28&gt;G28)),"5 - Missing info",IF(YEAR(TODAY())&gt;G28,"1 - URGENT (past peak)",IF(YEAR(TODAY())=G28,"2 - Drink this year",IF(OR(NOT(ISNUMBER(F28)),YEAR(TODAY())&gt;=F28),"3 - Ready to drink","4 - Hold (too young)"))))))</f>
        <v/>
      </c>
      <c r="I28" s="11" t="str">
        <f aca="true">IF(OR(A28="",NOT(ISNUMBER(G28)),AND(ISNUMBER(C28),C28&lt;=0)),"",G28-YEAR(TODAY()))</f>
        <v/>
      </c>
      <c r="J28" s="9"/>
      <c r="K28" s="8"/>
      <c r="L28" s="9"/>
    </row>
    <row r="29" customFormat="false" ht="21.75" hidden="false" customHeight="true" outlineLevel="0" collapsed="false">
      <c r="A29" s="5"/>
      <c r="B29" s="6"/>
      <c r="C29" s="7"/>
      <c r="D29" s="8"/>
      <c r="E29" s="9"/>
      <c r="F29" s="6"/>
      <c r="G29" s="6"/>
      <c r="H29" s="10" t="str">
        <f aca="true">IF(A29="","",IF(AND(ISNUMBER(C29),C29&lt;=0),"6 - Out of stock",IF(OR(NOT(ISNUMBER(C29)),NOT(ISNUMBER(G29)),AND(ISNUMBER(F29),ISNUMBER(G29),F29&gt;G29)),"5 - Missing info",IF(YEAR(TODAY())&gt;G29,"1 - URGENT (past peak)",IF(YEAR(TODAY())=G29,"2 - Drink this year",IF(OR(NOT(ISNUMBER(F29)),YEAR(TODAY())&gt;=F29),"3 - Ready to drink","4 - Hold (too young)"))))))</f>
        <v/>
      </c>
      <c r="I29" s="11" t="str">
        <f aca="true">IF(OR(A29="",NOT(ISNUMBER(G29)),AND(ISNUMBER(C29),C29&lt;=0)),"",G29-YEAR(TODAY()))</f>
        <v/>
      </c>
      <c r="J29" s="9"/>
      <c r="K29" s="8"/>
      <c r="L29" s="9"/>
    </row>
    <row r="30" customFormat="false" ht="21.75" hidden="false" customHeight="true" outlineLevel="0" collapsed="false">
      <c r="A30" s="5"/>
      <c r="B30" s="6"/>
      <c r="C30" s="7"/>
      <c r="D30" s="8"/>
      <c r="E30" s="9"/>
      <c r="F30" s="6"/>
      <c r="G30" s="6"/>
      <c r="H30" s="10" t="str">
        <f aca="true">IF(A30="","",IF(AND(ISNUMBER(C30),C30&lt;=0),"6 - Out of stock",IF(OR(NOT(ISNUMBER(C30)),NOT(ISNUMBER(G30)),AND(ISNUMBER(F30),ISNUMBER(G30),F30&gt;G30)),"5 - Missing info",IF(YEAR(TODAY())&gt;G30,"1 - URGENT (past peak)",IF(YEAR(TODAY())=G30,"2 - Drink this year",IF(OR(NOT(ISNUMBER(F30)),YEAR(TODAY())&gt;=F30),"3 - Ready to drink","4 - Hold (too young)"))))))</f>
        <v/>
      </c>
      <c r="I30" s="11" t="str">
        <f aca="true">IF(OR(A30="",NOT(ISNUMBER(G30)),AND(ISNUMBER(C30),C30&lt;=0)),"",G30-YEAR(TODAY()))</f>
        <v/>
      </c>
      <c r="J30" s="9"/>
      <c r="K30" s="8"/>
      <c r="L30" s="9"/>
    </row>
    <row r="31" customFormat="false" ht="21.75" hidden="false" customHeight="true" outlineLevel="0" collapsed="false">
      <c r="A31" s="5"/>
      <c r="B31" s="6"/>
      <c r="C31" s="7"/>
      <c r="D31" s="8"/>
      <c r="E31" s="9"/>
      <c r="F31" s="6"/>
      <c r="G31" s="6"/>
      <c r="H31" s="10" t="str">
        <f aca="true">IF(A31="","",IF(AND(ISNUMBER(C31),C31&lt;=0),"6 - Out of stock",IF(OR(NOT(ISNUMBER(C31)),NOT(ISNUMBER(G31)),AND(ISNUMBER(F31),ISNUMBER(G31),F31&gt;G31)),"5 - Missing info",IF(YEAR(TODAY())&gt;G31,"1 - URGENT (past peak)",IF(YEAR(TODAY())=G31,"2 - Drink this year",IF(OR(NOT(ISNUMBER(F31)),YEAR(TODAY())&gt;=F31),"3 - Ready to drink","4 - Hold (too young)"))))))</f>
        <v/>
      </c>
      <c r="I31" s="11" t="str">
        <f aca="true">IF(OR(A31="",NOT(ISNUMBER(G31)),AND(ISNUMBER(C31),C31&lt;=0)),"",G31-YEAR(TODAY()))</f>
        <v/>
      </c>
      <c r="J31" s="9"/>
      <c r="K31" s="8"/>
      <c r="L31" s="9"/>
    </row>
    <row r="32" customFormat="false" ht="21.75" hidden="false" customHeight="true" outlineLevel="0" collapsed="false">
      <c r="A32" s="5"/>
      <c r="B32" s="6"/>
      <c r="C32" s="7"/>
      <c r="D32" s="8"/>
      <c r="E32" s="9"/>
      <c r="F32" s="6"/>
      <c r="G32" s="6"/>
      <c r="H32" s="10" t="str">
        <f aca="true">IF(A32="","",IF(AND(ISNUMBER(C32),C32&lt;=0),"6 - Out of stock",IF(OR(NOT(ISNUMBER(C32)),NOT(ISNUMBER(G32)),AND(ISNUMBER(F32),ISNUMBER(G32),F32&gt;G32)),"5 - Missing info",IF(YEAR(TODAY())&gt;G32,"1 - URGENT (past peak)",IF(YEAR(TODAY())=G32,"2 - Drink this year",IF(OR(NOT(ISNUMBER(F32)),YEAR(TODAY())&gt;=F32),"3 - Ready to drink","4 - Hold (too young)"))))))</f>
        <v/>
      </c>
      <c r="I32" s="11" t="str">
        <f aca="true">IF(OR(A32="",NOT(ISNUMBER(G32)),AND(ISNUMBER(C32),C32&lt;=0)),"",G32-YEAR(TODAY()))</f>
        <v/>
      </c>
      <c r="J32" s="9"/>
      <c r="K32" s="8"/>
      <c r="L32" s="9"/>
    </row>
    <row r="33" customFormat="false" ht="21.75" hidden="false" customHeight="true" outlineLevel="0" collapsed="false">
      <c r="A33" s="5"/>
      <c r="B33" s="6"/>
      <c r="C33" s="7"/>
      <c r="D33" s="8"/>
      <c r="E33" s="9"/>
      <c r="F33" s="6"/>
      <c r="G33" s="6"/>
      <c r="H33" s="10" t="str">
        <f aca="true">IF(A33="","",IF(AND(ISNUMBER(C33),C33&lt;=0),"6 - Out of stock",IF(OR(NOT(ISNUMBER(C33)),NOT(ISNUMBER(G33)),AND(ISNUMBER(F33),ISNUMBER(G33),F33&gt;G33)),"5 - Missing info",IF(YEAR(TODAY())&gt;G33,"1 - URGENT (past peak)",IF(YEAR(TODAY())=G33,"2 - Drink this year",IF(OR(NOT(ISNUMBER(F33)),YEAR(TODAY())&gt;=F33),"3 - Ready to drink","4 - Hold (too young)"))))))</f>
        <v/>
      </c>
      <c r="I33" s="11" t="str">
        <f aca="true">IF(OR(A33="",NOT(ISNUMBER(G33)),AND(ISNUMBER(C33),C33&lt;=0)),"",G33-YEAR(TODAY()))</f>
        <v/>
      </c>
      <c r="J33" s="9"/>
      <c r="K33" s="8"/>
      <c r="L33" s="9"/>
    </row>
    <row r="34" customFormat="false" ht="21.75" hidden="false" customHeight="true" outlineLevel="0" collapsed="false">
      <c r="A34" s="5"/>
      <c r="B34" s="6"/>
      <c r="C34" s="7"/>
      <c r="D34" s="8"/>
      <c r="E34" s="9"/>
      <c r="F34" s="6"/>
      <c r="G34" s="6"/>
      <c r="H34" s="10" t="str">
        <f aca="true">IF(A34="","",IF(AND(ISNUMBER(C34),C34&lt;=0),"6 - Out of stock",IF(OR(NOT(ISNUMBER(C34)),NOT(ISNUMBER(G34)),AND(ISNUMBER(F34),ISNUMBER(G34),F34&gt;G34)),"5 - Missing info",IF(YEAR(TODAY())&gt;G34,"1 - URGENT (past peak)",IF(YEAR(TODAY())=G34,"2 - Drink this year",IF(OR(NOT(ISNUMBER(F34)),YEAR(TODAY())&gt;=F34),"3 - Ready to drink","4 - Hold (too young)"))))))</f>
        <v/>
      </c>
      <c r="I34" s="11" t="str">
        <f aca="true">IF(OR(A34="",NOT(ISNUMBER(G34)),AND(ISNUMBER(C34),C34&lt;=0)),"",G34-YEAR(TODAY()))</f>
        <v/>
      </c>
      <c r="J34" s="9"/>
      <c r="K34" s="8"/>
      <c r="L34" s="9"/>
    </row>
    <row r="35" customFormat="false" ht="21.75" hidden="false" customHeight="true" outlineLevel="0" collapsed="false">
      <c r="A35" s="5"/>
      <c r="B35" s="6"/>
      <c r="C35" s="7"/>
      <c r="D35" s="8"/>
      <c r="E35" s="9"/>
      <c r="F35" s="6"/>
      <c r="G35" s="6"/>
      <c r="H35" s="10" t="str">
        <f aca="true">IF(A35="","",IF(AND(ISNUMBER(C35),C35&lt;=0),"6 - Out of stock",IF(OR(NOT(ISNUMBER(C35)),NOT(ISNUMBER(G35)),AND(ISNUMBER(F35),ISNUMBER(G35),F35&gt;G35)),"5 - Missing info",IF(YEAR(TODAY())&gt;G35,"1 - URGENT (past peak)",IF(YEAR(TODAY())=G35,"2 - Drink this year",IF(OR(NOT(ISNUMBER(F35)),YEAR(TODAY())&gt;=F35),"3 - Ready to drink","4 - Hold (too young)"))))))</f>
        <v/>
      </c>
      <c r="I35" s="11" t="str">
        <f aca="true">IF(OR(A35="",NOT(ISNUMBER(G35)),AND(ISNUMBER(C35),C35&lt;=0)),"",G35-YEAR(TODAY()))</f>
        <v/>
      </c>
      <c r="J35" s="9"/>
      <c r="K35" s="8"/>
      <c r="L35" s="9"/>
    </row>
    <row r="36" customFormat="false" ht="21.75" hidden="false" customHeight="true" outlineLevel="0" collapsed="false">
      <c r="A36" s="5"/>
      <c r="B36" s="6"/>
      <c r="C36" s="7"/>
      <c r="D36" s="8"/>
      <c r="E36" s="9"/>
      <c r="F36" s="6"/>
      <c r="G36" s="6"/>
      <c r="H36" s="10" t="str">
        <f aca="true">IF(A36="","",IF(AND(ISNUMBER(C36),C36&lt;=0),"6 - Out of stock",IF(OR(NOT(ISNUMBER(C36)),NOT(ISNUMBER(G36)),AND(ISNUMBER(F36),ISNUMBER(G36),F36&gt;G36)),"5 - Missing info",IF(YEAR(TODAY())&gt;G36,"1 - URGENT (past peak)",IF(YEAR(TODAY())=G36,"2 - Drink this year",IF(OR(NOT(ISNUMBER(F36)),YEAR(TODAY())&gt;=F36),"3 - Ready to drink","4 - Hold (too young)"))))))</f>
        <v/>
      </c>
      <c r="I36" s="11" t="str">
        <f aca="true">IF(OR(A36="",NOT(ISNUMBER(G36)),AND(ISNUMBER(C36),C36&lt;=0)),"",G36-YEAR(TODAY()))</f>
        <v/>
      </c>
      <c r="J36" s="9"/>
      <c r="K36" s="8"/>
      <c r="L36" s="9"/>
    </row>
    <row r="37" customFormat="false" ht="21.75" hidden="false" customHeight="true" outlineLevel="0" collapsed="false">
      <c r="A37" s="5"/>
      <c r="B37" s="6"/>
      <c r="C37" s="7"/>
      <c r="D37" s="8"/>
      <c r="E37" s="9"/>
      <c r="F37" s="6"/>
      <c r="G37" s="6"/>
      <c r="H37" s="10" t="str">
        <f aca="true">IF(A37="","",IF(AND(ISNUMBER(C37),C37&lt;=0),"6 - Out of stock",IF(OR(NOT(ISNUMBER(C37)),NOT(ISNUMBER(G37)),AND(ISNUMBER(F37),ISNUMBER(G37),F37&gt;G37)),"5 - Missing info",IF(YEAR(TODAY())&gt;G37,"1 - URGENT (past peak)",IF(YEAR(TODAY())=G37,"2 - Drink this year",IF(OR(NOT(ISNUMBER(F37)),YEAR(TODAY())&gt;=F37),"3 - Ready to drink","4 - Hold (too young)"))))))</f>
        <v/>
      </c>
      <c r="I37" s="11" t="str">
        <f aca="true">IF(OR(A37="",NOT(ISNUMBER(G37)),AND(ISNUMBER(C37),C37&lt;=0)),"",G37-YEAR(TODAY()))</f>
        <v/>
      </c>
      <c r="J37" s="9"/>
      <c r="K37" s="8"/>
      <c r="L37" s="9"/>
    </row>
    <row r="38" customFormat="false" ht="21.75" hidden="false" customHeight="true" outlineLevel="0" collapsed="false">
      <c r="A38" s="5"/>
      <c r="B38" s="6"/>
      <c r="C38" s="7"/>
      <c r="D38" s="8"/>
      <c r="E38" s="9"/>
      <c r="F38" s="6"/>
      <c r="G38" s="6"/>
      <c r="H38" s="10" t="str">
        <f aca="true">IF(A38="","",IF(AND(ISNUMBER(C38),C38&lt;=0),"6 - Out of stock",IF(OR(NOT(ISNUMBER(C38)),NOT(ISNUMBER(G38)),AND(ISNUMBER(F38),ISNUMBER(G38),F38&gt;G38)),"5 - Missing info",IF(YEAR(TODAY())&gt;G38,"1 - URGENT (past peak)",IF(YEAR(TODAY())=G38,"2 - Drink this year",IF(OR(NOT(ISNUMBER(F38)),YEAR(TODAY())&gt;=F38),"3 - Ready to drink","4 - Hold (too young)"))))))</f>
        <v/>
      </c>
      <c r="I38" s="11" t="str">
        <f aca="true">IF(OR(A38="",NOT(ISNUMBER(G38)),AND(ISNUMBER(C38),C38&lt;=0)),"",G38-YEAR(TODAY()))</f>
        <v/>
      </c>
      <c r="J38" s="9"/>
      <c r="K38" s="8"/>
      <c r="L38" s="9"/>
    </row>
    <row r="39" customFormat="false" ht="21.75" hidden="false" customHeight="true" outlineLevel="0" collapsed="false">
      <c r="A39" s="5"/>
      <c r="B39" s="6"/>
      <c r="C39" s="7"/>
      <c r="D39" s="8"/>
      <c r="E39" s="9"/>
      <c r="F39" s="6"/>
      <c r="G39" s="6"/>
      <c r="H39" s="10" t="str">
        <f aca="true">IF(A39="","",IF(AND(ISNUMBER(C39),C39&lt;=0),"6 - Out of stock",IF(OR(NOT(ISNUMBER(C39)),NOT(ISNUMBER(G39)),AND(ISNUMBER(F39),ISNUMBER(G39),F39&gt;G39)),"5 - Missing info",IF(YEAR(TODAY())&gt;G39,"1 - URGENT (past peak)",IF(YEAR(TODAY())=G39,"2 - Drink this year",IF(OR(NOT(ISNUMBER(F39)),YEAR(TODAY())&gt;=F39),"3 - Ready to drink","4 - Hold (too young)"))))))</f>
        <v/>
      </c>
      <c r="I39" s="11" t="str">
        <f aca="true">IF(OR(A39="",NOT(ISNUMBER(G39)),AND(ISNUMBER(C39),C39&lt;=0)),"",G39-YEAR(TODAY()))</f>
        <v/>
      </c>
      <c r="J39" s="9"/>
      <c r="K39" s="8"/>
      <c r="L39" s="9"/>
    </row>
    <row r="40" customFormat="false" ht="21.75" hidden="false" customHeight="true" outlineLevel="0" collapsed="false">
      <c r="A40" s="5"/>
      <c r="B40" s="6"/>
      <c r="C40" s="7"/>
      <c r="D40" s="8"/>
      <c r="E40" s="9"/>
      <c r="F40" s="6"/>
      <c r="G40" s="6"/>
      <c r="H40" s="10" t="str">
        <f aca="true">IF(A40="","",IF(AND(ISNUMBER(C40),C40&lt;=0),"6 - Out of stock",IF(OR(NOT(ISNUMBER(C40)),NOT(ISNUMBER(G40)),AND(ISNUMBER(F40),ISNUMBER(G40),F40&gt;G40)),"5 - Missing info",IF(YEAR(TODAY())&gt;G40,"1 - URGENT (past peak)",IF(YEAR(TODAY())=G40,"2 - Drink this year",IF(OR(NOT(ISNUMBER(F40)),YEAR(TODAY())&gt;=F40),"3 - Ready to drink","4 - Hold (too young)"))))))</f>
        <v/>
      </c>
      <c r="I40" s="11" t="str">
        <f aca="true">IF(OR(A40="",NOT(ISNUMBER(G40)),AND(ISNUMBER(C40),C40&lt;=0)),"",G40-YEAR(TODAY()))</f>
        <v/>
      </c>
      <c r="J40" s="9"/>
      <c r="K40" s="8"/>
      <c r="L40" s="9"/>
    </row>
    <row r="41" customFormat="false" ht="21.75" hidden="false" customHeight="true" outlineLevel="0" collapsed="false">
      <c r="A41" s="5"/>
      <c r="B41" s="6"/>
      <c r="C41" s="7"/>
      <c r="D41" s="8"/>
      <c r="E41" s="9"/>
      <c r="F41" s="6"/>
      <c r="G41" s="6"/>
      <c r="H41" s="10" t="str">
        <f aca="true">IF(A41="","",IF(AND(ISNUMBER(C41),C41&lt;=0),"6 - Out of stock",IF(OR(NOT(ISNUMBER(C41)),NOT(ISNUMBER(G41)),AND(ISNUMBER(F41),ISNUMBER(G41),F41&gt;G41)),"5 - Missing info",IF(YEAR(TODAY())&gt;G41,"1 - URGENT (past peak)",IF(YEAR(TODAY())=G41,"2 - Drink this year",IF(OR(NOT(ISNUMBER(F41)),YEAR(TODAY())&gt;=F41),"3 - Ready to drink","4 - Hold (too young)"))))))</f>
        <v/>
      </c>
      <c r="I41" s="11" t="str">
        <f aca="true">IF(OR(A41="",NOT(ISNUMBER(G41)),AND(ISNUMBER(C41),C41&lt;=0)),"",G41-YEAR(TODAY()))</f>
        <v/>
      </c>
      <c r="J41" s="9"/>
      <c r="K41" s="8"/>
      <c r="L41" s="9"/>
    </row>
    <row r="42" customFormat="false" ht="21.75" hidden="false" customHeight="true" outlineLevel="0" collapsed="false">
      <c r="A42" s="5"/>
      <c r="B42" s="6"/>
      <c r="C42" s="7"/>
      <c r="D42" s="8"/>
      <c r="E42" s="9"/>
      <c r="F42" s="6"/>
      <c r="G42" s="6"/>
      <c r="H42" s="10" t="str">
        <f aca="true">IF(A42="","",IF(AND(ISNUMBER(C42),C42&lt;=0),"6 - Out of stock",IF(OR(NOT(ISNUMBER(C42)),NOT(ISNUMBER(G42)),AND(ISNUMBER(F42),ISNUMBER(G42),F42&gt;G42)),"5 - Missing info",IF(YEAR(TODAY())&gt;G42,"1 - URGENT (past peak)",IF(YEAR(TODAY())=G42,"2 - Drink this year",IF(OR(NOT(ISNUMBER(F42)),YEAR(TODAY())&gt;=F42),"3 - Ready to drink","4 - Hold (too young)"))))))</f>
        <v/>
      </c>
      <c r="I42" s="11" t="str">
        <f aca="true">IF(OR(A42="",NOT(ISNUMBER(G42)),AND(ISNUMBER(C42),C42&lt;=0)),"",G42-YEAR(TODAY()))</f>
        <v/>
      </c>
      <c r="J42" s="9"/>
      <c r="K42" s="8"/>
      <c r="L42" s="9"/>
    </row>
    <row r="43" customFormat="false" ht="21.75" hidden="false" customHeight="true" outlineLevel="0" collapsed="false">
      <c r="A43" s="5"/>
      <c r="B43" s="6"/>
      <c r="C43" s="7"/>
      <c r="D43" s="8"/>
      <c r="E43" s="9"/>
      <c r="F43" s="6"/>
      <c r="G43" s="6"/>
      <c r="H43" s="10" t="str">
        <f aca="true">IF(A43="","",IF(AND(ISNUMBER(C43),C43&lt;=0),"6 - Out of stock",IF(OR(NOT(ISNUMBER(C43)),NOT(ISNUMBER(G43)),AND(ISNUMBER(F43),ISNUMBER(G43),F43&gt;G43)),"5 - Missing info",IF(YEAR(TODAY())&gt;G43,"1 - URGENT (past peak)",IF(YEAR(TODAY())=G43,"2 - Drink this year",IF(OR(NOT(ISNUMBER(F43)),YEAR(TODAY())&gt;=F43),"3 - Ready to drink","4 - Hold (too young)"))))))</f>
        <v/>
      </c>
      <c r="I43" s="11" t="str">
        <f aca="true">IF(OR(A43="",NOT(ISNUMBER(G43)),AND(ISNUMBER(C43),C43&lt;=0)),"",G43-YEAR(TODAY()))</f>
        <v/>
      </c>
      <c r="J43" s="9"/>
      <c r="K43" s="8"/>
      <c r="L43" s="9"/>
    </row>
    <row r="44" customFormat="false" ht="21.75" hidden="false" customHeight="true" outlineLevel="0" collapsed="false">
      <c r="A44" s="5"/>
      <c r="B44" s="6"/>
      <c r="C44" s="7"/>
      <c r="D44" s="8"/>
      <c r="E44" s="9"/>
      <c r="F44" s="6"/>
      <c r="G44" s="6"/>
      <c r="H44" s="10" t="str">
        <f aca="true">IF(A44="","",IF(AND(ISNUMBER(C44),C44&lt;=0),"6 - Out of stock",IF(OR(NOT(ISNUMBER(C44)),NOT(ISNUMBER(G44)),AND(ISNUMBER(F44),ISNUMBER(G44),F44&gt;G44)),"5 - Missing info",IF(YEAR(TODAY())&gt;G44,"1 - URGENT (past peak)",IF(YEAR(TODAY())=G44,"2 - Drink this year",IF(OR(NOT(ISNUMBER(F44)),YEAR(TODAY())&gt;=F44),"3 - Ready to drink","4 - Hold (too young)"))))))</f>
        <v/>
      </c>
      <c r="I44" s="11" t="str">
        <f aca="true">IF(OR(A44="",NOT(ISNUMBER(G44)),AND(ISNUMBER(C44),C44&lt;=0)),"",G44-YEAR(TODAY()))</f>
        <v/>
      </c>
      <c r="J44" s="9"/>
      <c r="K44" s="8"/>
      <c r="L44" s="9"/>
    </row>
    <row r="45" customFormat="false" ht="21.75" hidden="false" customHeight="true" outlineLevel="0" collapsed="false">
      <c r="A45" s="5"/>
      <c r="B45" s="6"/>
      <c r="C45" s="7"/>
      <c r="D45" s="8"/>
      <c r="E45" s="9"/>
      <c r="F45" s="6"/>
      <c r="G45" s="6"/>
      <c r="H45" s="10" t="str">
        <f aca="true">IF(A45="","",IF(AND(ISNUMBER(C45),C45&lt;=0),"6 - Out of stock",IF(OR(NOT(ISNUMBER(C45)),NOT(ISNUMBER(G45)),AND(ISNUMBER(F45),ISNUMBER(G45),F45&gt;G45)),"5 - Missing info",IF(YEAR(TODAY())&gt;G45,"1 - URGENT (past peak)",IF(YEAR(TODAY())=G45,"2 - Drink this year",IF(OR(NOT(ISNUMBER(F45)),YEAR(TODAY())&gt;=F45),"3 - Ready to drink","4 - Hold (too young)"))))))</f>
        <v/>
      </c>
      <c r="I45" s="11" t="str">
        <f aca="true">IF(OR(A45="",NOT(ISNUMBER(G45)),AND(ISNUMBER(C45),C45&lt;=0)),"",G45-YEAR(TODAY()))</f>
        <v/>
      </c>
      <c r="J45" s="9"/>
      <c r="K45" s="8"/>
      <c r="L45" s="9"/>
    </row>
    <row r="46" customFormat="false" ht="21.75" hidden="false" customHeight="true" outlineLevel="0" collapsed="false">
      <c r="A46" s="5"/>
      <c r="B46" s="6"/>
      <c r="C46" s="7"/>
      <c r="D46" s="8"/>
      <c r="E46" s="9"/>
      <c r="F46" s="6"/>
      <c r="G46" s="6"/>
      <c r="H46" s="10" t="str">
        <f aca="true">IF(A46="","",IF(AND(ISNUMBER(C46),C46&lt;=0),"6 - Out of stock",IF(OR(NOT(ISNUMBER(C46)),NOT(ISNUMBER(G46)),AND(ISNUMBER(F46),ISNUMBER(G46),F46&gt;G46)),"5 - Missing info",IF(YEAR(TODAY())&gt;G46,"1 - URGENT (past peak)",IF(YEAR(TODAY())=G46,"2 - Drink this year",IF(OR(NOT(ISNUMBER(F46)),YEAR(TODAY())&gt;=F46),"3 - Ready to drink","4 - Hold (too young)"))))))</f>
        <v/>
      </c>
      <c r="I46" s="11" t="str">
        <f aca="true">IF(OR(A46="",NOT(ISNUMBER(G46)),AND(ISNUMBER(C46),C46&lt;=0)),"",G46-YEAR(TODAY()))</f>
        <v/>
      </c>
      <c r="J46" s="9"/>
      <c r="K46" s="8"/>
      <c r="L46" s="9"/>
    </row>
    <row r="47" customFormat="false" ht="21.75" hidden="false" customHeight="true" outlineLevel="0" collapsed="false">
      <c r="A47" s="5"/>
      <c r="B47" s="6"/>
      <c r="C47" s="7"/>
      <c r="D47" s="8"/>
      <c r="E47" s="9"/>
      <c r="F47" s="6"/>
      <c r="G47" s="6"/>
      <c r="H47" s="10" t="str">
        <f aca="true">IF(A47="","",IF(AND(ISNUMBER(C47),C47&lt;=0),"6 - Out of stock",IF(OR(NOT(ISNUMBER(C47)),NOT(ISNUMBER(G47)),AND(ISNUMBER(F47),ISNUMBER(G47),F47&gt;G47)),"5 - Missing info",IF(YEAR(TODAY())&gt;G47,"1 - URGENT (past peak)",IF(YEAR(TODAY())=G47,"2 - Drink this year",IF(OR(NOT(ISNUMBER(F47)),YEAR(TODAY())&gt;=F47),"3 - Ready to drink","4 - Hold (too young)"))))))</f>
        <v/>
      </c>
      <c r="I47" s="11" t="str">
        <f aca="true">IF(OR(A47="",NOT(ISNUMBER(G47)),AND(ISNUMBER(C47),C47&lt;=0)),"",G47-YEAR(TODAY()))</f>
        <v/>
      </c>
      <c r="J47" s="9"/>
      <c r="K47" s="8"/>
      <c r="L47" s="9"/>
    </row>
    <row r="48" customFormat="false" ht="21.75" hidden="false" customHeight="true" outlineLevel="0" collapsed="false">
      <c r="A48" s="5"/>
      <c r="B48" s="6"/>
      <c r="C48" s="7"/>
      <c r="D48" s="8"/>
      <c r="E48" s="9"/>
      <c r="F48" s="6"/>
      <c r="G48" s="6"/>
      <c r="H48" s="10" t="str">
        <f aca="true">IF(A48="","",IF(AND(ISNUMBER(C48),C48&lt;=0),"6 - Out of stock",IF(OR(NOT(ISNUMBER(C48)),NOT(ISNUMBER(G48)),AND(ISNUMBER(F48),ISNUMBER(G48),F48&gt;G48)),"5 - Missing info",IF(YEAR(TODAY())&gt;G48,"1 - URGENT (past peak)",IF(YEAR(TODAY())=G48,"2 - Drink this year",IF(OR(NOT(ISNUMBER(F48)),YEAR(TODAY())&gt;=F48),"3 - Ready to drink","4 - Hold (too young)"))))))</f>
        <v/>
      </c>
      <c r="I48" s="11" t="str">
        <f aca="true">IF(OR(A48="",NOT(ISNUMBER(G48)),AND(ISNUMBER(C48),C48&lt;=0)),"",G48-YEAR(TODAY()))</f>
        <v/>
      </c>
      <c r="J48" s="9"/>
      <c r="K48" s="8"/>
      <c r="L48" s="9"/>
    </row>
    <row r="49" customFormat="false" ht="21.75" hidden="false" customHeight="true" outlineLevel="0" collapsed="false">
      <c r="A49" s="5"/>
      <c r="B49" s="6"/>
      <c r="C49" s="7"/>
      <c r="D49" s="8"/>
      <c r="E49" s="9"/>
      <c r="F49" s="6"/>
      <c r="G49" s="6"/>
      <c r="H49" s="10" t="str">
        <f aca="true">IF(A49="","",IF(AND(ISNUMBER(C49),C49&lt;=0),"6 - Out of stock",IF(OR(NOT(ISNUMBER(C49)),NOT(ISNUMBER(G49)),AND(ISNUMBER(F49),ISNUMBER(G49),F49&gt;G49)),"5 - Missing info",IF(YEAR(TODAY())&gt;G49,"1 - URGENT (past peak)",IF(YEAR(TODAY())=G49,"2 - Drink this year",IF(OR(NOT(ISNUMBER(F49)),YEAR(TODAY())&gt;=F49),"3 - Ready to drink","4 - Hold (too young)"))))))</f>
        <v/>
      </c>
      <c r="I49" s="11" t="str">
        <f aca="true">IF(OR(A49="",NOT(ISNUMBER(G49)),AND(ISNUMBER(C49),C49&lt;=0)),"",G49-YEAR(TODAY()))</f>
        <v/>
      </c>
      <c r="J49" s="9"/>
      <c r="K49" s="8"/>
      <c r="L49" s="9"/>
    </row>
    <row r="50" customFormat="false" ht="21.75" hidden="false" customHeight="true" outlineLevel="0" collapsed="false">
      <c r="A50" s="5"/>
      <c r="B50" s="6"/>
      <c r="C50" s="7"/>
      <c r="D50" s="8"/>
      <c r="E50" s="9"/>
      <c r="F50" s="6"/>
      <c r="G50" s="6"/>
      <c r="H50" s="10" t="str">
        <f aca="true">IF(A50="","",IF(AND(ISNUMBER(C50),C50&lt;=0),"6 - Out of stock",IF(OR(NOT(ISNUMBER(C50)),NOT(ISNUMBER(G50)),AND(ISNUMBER(F50),ISNUMBER(G50),F50&gt;G50)),"5 - Missing info",IF(YEAR(TODAY())&gt;G50,"1 - URGENT (past peak)",IF(YEAR(TODAY())=G50,"2 - Drink this year",IF(OR(NOT(ISNUMBER(F50)),YEAR(TODAY())&gt;=F50),"3 - Ready to drink","4 - Hold (too young)"))))))</f>
        <v/>
      </c>
      <c r="I50" s="11" t="str">
        <f aca="true">IF(OR(A50="",NOT(ISNUMBER(G50)),AND(ISNUMBER(C50),C50&lt;=0)),"",G50-YEAR(TODAY()))</f>
        <v/>
      </c>
      <c r="J50" s="9"/>
      <c r="K50" s="8"/>
      <c r="L50" s="9"/>
    </row>
    <row r="51" customFormat="false" ht="21.75" hidden="false" customHeight="true" outlineLevel="0" collapsed="false">
      <c r="A51" s="5"/>
      <c r="B51" s="6"/>
      <c r="C51" s="7"/>
      <c r="D51" s="8"/>
      <c r="E51" s="9"/>
      <c r="F51" s="6"/>
      <c r="G51" s="6"/>
      <c r="H51" s="10" t="str">
        <f aca="true">IF(A51="","",IF(AND(ISNUMBER(C51),C51&lt;=0),"6 - Out of stock",IF(OR(NOT(ISNUMBER(C51)),NOT(ISNUMBER(G51)),AND(ISNUMBER(F51),ISNUMBER(G51),F51&gt;G51)),"5 - Missing info",IF(YEAR(TODAY())&gt;G51,"1 - URGENT (past peak)",IF(YEAR(TODAY())=G51,"2 - Drink this year",IF(OR(NOT(ISNUMBER(F51)),YEAR(TODAY())&gt;=F51),"3 - Ready to drink","4 - Hold (too young)"))))))</f>
        <v/>
      </c>
      <c r="I51" s="11" t="str">
        <f aca="true">IF(OR(A51="",NOT(ISNUMBER(G51)),AND(ISNUMBER(C51),C51&lt;=0)),"",G51-YEAR(TODAY()))</f>
        <v/>
      </c>
      <c r="J51" s="9"/>
      <c r="K51" s="8"/>
      <c r="L51" s="9"/>
    </row>
    <row r="52" customFormat="false" ht="21.75" hidden="false" customHeight="true" outlineLevel="0" collapsed="false">
      <c r="A52" s="5"/>
      <c r="B52" s="6"/>
      <c r="C52" s="7"/>
      <c r="D52" s="8"/>
      <c r="E52" s="9"/>
      <c r="F52" s="6"/>
      <c r="G52" s="6"/>
      <c r="H52" s="10" t="str">
        <f aca="true">IF(A52="","",IF(AND(ISNUMBER(C52),C52&lt;=0),"6 - Out of stock",IF(OR(NOT(ISNUMBER(C52)),NOT(ISNUMBER(G52)),AND(ISNUMBER(F52),ISNUMBER(G52),F52&gt;G52)),"5 - Missing info",IF(YEAR(TODAY())&gt;G52,"1 - URGENT (past peak)",IF(YEAR(TODAY())=G52,"2 - Drink this year",IF(OR(NOT(ISNUMBER(F52)),YEAR(TODAY())&gt;=F52),"3 - Ready to drink","4 - Hold (too young)"))))))</f>
        <v/>
      </c>
      <c r="I52" s="11" t="str">
        <f aca="true">IF(OR(A52="",NOT(ISNUMBER(G52)),AND(ISNUMBER(C52),C52&lt;=0)),"",G52-YEAR(TODAY()))</f>
        <v/>
      </c>
      <c r="J52" s="9"/>
      <c r="K52" s="8"/>
      <c r="L52" s="9"/>
    </row>
    <row r="53" customFormat="false" ht="21.75" hidden="false" customHeight="true" outlineLevel="0" collapsed="false">
      <c r="A53" s="5"/>
      <c r="B53" s="6"/>
      <c r="C53" s="7"/>
      <c r="D53" s="8"/>
      <c r="E53" s="9"/>
      <c r="F53" s="6"/>
      <c r="G53" s="6"/>
      <c r="H53" s="10" t="str">
        <f aca="true">IF(A53="","",IF(AND(ISNUMBER(C53),C53&lt;=0),"6 - Out of stock",IF(OR(NOT(ISNUMBER(C53)),NOT(ISNUMBER(G53)),AND(ISNUMBER(F53),ISNUMBER(G53),F53&gt;G53)),"5 - Missing info",IF(YEAR(TODAY())&gt;G53,"1 - URGENT (past peak)",IF(YEAR(TODAY())=G53,"2 - Drink this year",IF(OR(NOT(ISNUMBER(F53)),YEAR(TODAY())&gt;=F53),"3 - Ready to drink","4 - Hold (too young)"))))))</f>
        <v/>
      </c>
      <c r="I53" s="11" t="str">
        <f aca="true">IF(OR(A53="",NOT(ISNUMBER(G53)),AND(ISNUMBER(C53),C53&lt;=0)),"",G53-YEAR(TODAY()))</f>
        <v/>
      </c>
      <c r="J53" s="9"/>
      <c r="K53" s="8"/>
      <c r="L53" s="9"/>
    </row>
    <row r="54" customFormat="false" ht="21.75" hidden="false" customHeight="true" outlineLevel="0" collapsed="false">
      <c r="A54" s="5"/>
      <c r="B54" s="6"/>
      <c r="C54" s="7"/>
      <c r="D54" s="8"/>
      <c r="E54" s="9"/>
      <c r="F54" s="6"/>
      <c r="G54" s="6"/>
      <c r="H54" s="10" t="str">
        <f aca="true">IF(A54="","",IF(AND(ISNUMBER(C54),C54&lt;=0),"6 - Out of stock",IF(OR(NOT(ISNUMBER(C54)),NOT(ISNUMBER(G54)),AND(ISNUMBER(F54),ISNUMBER(G54),F54&gt;G54)),"5 - Missing info",IF(YEAR(TODAY())&gt;G54,"1 - URGENT (past peak)",IF(YEAR(TODAY())=G54,"2 - Drink this year",IF(OR(NOT(ISNUMBER(F54)),YEAR(TODAY())&gt;=F54),"3 - Ready to drink","4 - Hold (too young)"))))))</f>
        <v/>
      </c>
      <c r="I54" s="11" t="str">
        <f aca="true">IF(OR(A54="",NOT(ISNUMBER(G54)),AND(ISNUMBER(C54),C54&lt;=0)),"",G54-YEAR(TODAY()))</f>
        <v/>
      </c>
      <c r="J54" s="9"/>
      <c r="K54" s="8"/>
      <c r="L54" s="9"/>
    </row>
    <row r="55" customFormat="false" ht="21.75" hidden="false" customHeight="true" outlineLevel="0" collapsed="false">
      <c r="A55" s="5"/>
      <c r="B55" s="6"/>
      <c r="C55" s="7"/>
      <c r="D55" s="8"/>
      <c r="E55" s="9"/>
      <c r="F55" s="6"/>
      <c r="G55" s="6"/>
      <c r="H55" s="10" t="str">
        <f aca="true">IF(A55="","",IF(AND(ISNUMBER(C55),C55&lt;=0),"6 - Out of stock",IF(OR(NOT(ISNUMBER(C55)),NOT(ISNUMBER(G55)),AND(ISNUMBER(F55),ISNUMBER(G55),F55&gt;G55)),"5 - Missing info",IF(YEAR(TODAY())&gt;G55,"1 - URGENT (past peak)",IF(YEAR(TODAY())=G55,"2 - Drink this year",IF(OR(NOT(ISNUMBER(F55)),YEAR(TODAY())&gt;=F55),"3 - Ready to drink","4 - Hold (too young)"))))))</f>
        <v/>
      </c>
      <c r="I55" s="11" t="str">
        <f aca="true">IF(OR(A55="",NOT(ISNUMBER(G55)),AND(ISNUMBER(C55),C55&lt;=0)),"",G55-YEAR(TODAY()))</f>
        <v/>
      </c>
      <c r="J55" s="9"/>
      <c r="K55" s="8"/>
      <c r="L55" s="9"/>
    </row>
    <row r="56" customFormat="false" ht="21.75" hidden="false" customHeight="true" outlineLevel="0" collapsed="false">
      <c r="A56" s="5"/>
      <c r="B56" s="6"/>
      <c r="C56" s="7"/>
      <c r="D56" s="8"/>
      <c r="E56" s="9"/>
      <c r="F56" s="6"/>
      <c r="G56" s="6"/>
      <c r="H56" s="10" t="str">
        <f aca="true">IF(A56="","",IF(AND(ISNUMBER(C56),C56&lt;=0),"6 - Out of stock",IF(OR(NOT(ISNUMBER(C56)),NOT(ISNUMBER(G56)),AND(ISNUMBER(F56),ISNUMBER(G56),F56&gt;G56)),"5 - Missing info",IF(YEAR(TODAY())&gt;G56,"1 - URGENT (past peak)",IF(YEAR(TODAY())=G56,"2 - Drink this year",IF(OR(NOT(ISNUMBER(F56)),YEAR(TODAY())&gt;=F56),"3 - Ready to drink","4 - Hold (too young)"))))))</f>
        <v/>
      </c>
      <c r="I56" s="11" t="str">
        <f aca="true">IF(OR(A56="",NOT(ISNUMBER(G56)),AND(ISNUMBER(C56),C56&lt;=0)),"",G56-YEAR(TODAY()))</f>
        <v/>
      </c>
      <c r="J56" s="9"/>
      <c r="K56" s="8"/>
      <c r="L56" s="9"/>
    </row>
    <row r="57" customFormat="false" ht="21.75" hidden="false" customHeight="true" outlineLevel="0" collapsed="false">
      <c r="A57" s="5"/>
      <c r="B57" s="6"/>
      <c r="C57" s="7"/>
      <c r="D57" s="8"/>
      <c r="E57" s="9"/>
      <c r="F57" s="6"/>
      <c r="G57" s="6"/>
      <c r="H57" s="10" t="str">
        <f aca="true">IF(A57="","",IF(AND(ISNUMBER(C57),C57&lt;=0),"6 - Out of stock",IF(OR(NOT(ISNUMBER(C57)),NOT(ISNUMBER(G57)),AND(ISNUMBER(F57),ISNUMBER(G57),F57&gt;G57)),"5 - Missing info",IF(YEAR(TODAY())&gt;G57,"1 - URGENT (past peak)",IF(YEAR(TODAY())=G57,"2 - Drink this year",IF(OR(NOT(ISNUMBER(F57)),YEAR(TODAY())&gt;=F57),"3 - Ready to drink","4 - Hold (too young)"))))))</f>
        <v/>
      </c>
      <c r="I57" s="11" t="str">
        <f aca="true">IF(OR(A57="",NOT(ISNUMBER(G57)),AND(ISNUMBER(C57),C57&lt;=0)),"",G57-YEAR(TODAY()))</f>
        <v/>
      </c>
      <c r="J57" s="9"/>
      <c r="K57" s="8"/>
      <c r="L57" s="9"/>
    </row>
    <row r="58" customFormat="false" ht="21.75" hidden="false" customHeight="true" outlineLevel="0" collapsed="false">
      <c r="A58" s="5"/>
      <c r="B58" s="6"/>
      <c r="C58" s="7"/>
      <c r="D58" s="8"/>
      <c r="E58" s="9"/>
      <c r="F58" s="6"/>
      <c r="G58" s="6"/>
      <c r="H58" s="10" t="str">
        <f aca="true">IF(A58="","",IF(AND(ISNUMBER(C58),C58&lt;=0),"6 - Out of stock",IF(OR(NOT(ISNUMBER(C58)),NOT(ISNUMBER(G58)),AND(ISNUMBER(F58),ISNUMBER(G58),F58&gt;G58)),"5 - Missing info",IF(YEAR(TODAY())&gt;G58,"1 - URGENT (past peak)",IF(YEAR(TODAY())=G58,"2 - Drink this year",IF(OR(NOT(ISNUMBER(F58)),YEAR(TODAY())&gt;=F58),"3 - Ready to drink","4 - Hold (too young)"))))))</f>
        <v/>
      </c>
      <c r="I58" s="11" t="str">
        <f aca="true">IF(OR(A58="",NOT(ISNUMBER(G58)),AND(ISNUMBER(C58),C58&lt;=0)),"",G58-YEAR(TODAY()))</f>
        <v/>
      </c>
      <c r="J58" s="9"/>
      <c r="K58" s="8"/>
      <c r="L58" s="9"/>
    </row>
    <row r="59" customFormat="false" ht="21.75" hidden="false" customHeight="true" outlineLevel="0" collapsed="false">
      <c r="A59" s="5"/>
      <c r="B59" s="6"/>
      <c r="C59" s="7"/>
      <c r="D59" s="8"/>
      <c r="E59" s="9"/>
      <c r="F59" s="6"/>
      <c r="G59" s="6"/>
      <c r="H59" s="10" t="str">
        <f aca="true">IF(A59="","",IF(AND(ISNUMBER(C59),C59&lt;=0),"6 - Out of stock",IF(OR(NOT(ISNUMBER(C59)),NOT(ISNUMBER(G59)),AND(ISNUMBER(F59),ISNUMBER(G59),F59&gt;G59)),"5 - Missing info",IF(YEAR(TODAY())&gt;G59,"1 - URGENT (past peak)",IF(YEAR(TODAY())=G59,"2 - Drink this year",IF(OR(NOT(ISNUMBER(F59)),YEAR(TODAY())&gt;=F59),"3 - Ready to drink","4 - Hold (too young)"))))))</f>
        <v/>
      </c>
      <c r="I59" s="11" t="str">
        <f aca="true">IF(OR(A59="",NOT(ISNUMBER(G59)),AND(ISNUMBER(C59),C59&lt;=0)),"",G59-YEAR(TODAY()))</f>
        <v/>
      </c>
      <c r="J59" s="9"/>
      <c r="K59" s="8"/>
      <c r="L59" s="9"/>
    </row>
    <row r="60" customFormat="false" ht="21.75" hidden="false" customHeight="true" outlineLevel="0" collapsed="false">
      <c r="A60" s="5"/>
      <c r="B60" s="6"/>
      <c r="C60" s="7"/>
      <c r="D60" s="8"/>
      <c r="E60" s="9"/>
      <c r="F60" s="6"/>
      <c r="G60" s="6"/>
      <c r="H60" s="10" t="str">
        <f aca="true">IF(A60="","",IF(AND(ISNUMBER(C60),C60&lt;=0),"6 - Out of stock",IF(OR(NOT(ISNUMBER(C60)),NOT(ISNUMBER(G60)),AND(ISNUMBER(F60),ISNUMBER(G60),F60&gt;G60)),"5 - Missing info",IF(YEAR(TODAY())&gt;G60,"1 - URGENT (past peak)",IF(YEAR(TODAY())=G60,"2 - Drink this year",IF(OR(NOT(ISNUMBER(F60)),YEAR(TODAY())&gt;=F60),"3 - Ready to drink","4 - Hold (too young)"))))))</f>
        <v/>
      </c>
      <c r="I60" s="11" t="str">
        <f aca="true">IF(OR(A60="",NOT(ISNUMBER(G60)),AND(ISNUMBER(C60),C60&lt;=0)),"",G60-YEAR(TODAY()))</f>
        <v/>
      </c>
      <c r="J60" s="9"/>
      <c r="K60" s="8"/>
      <c r="L60" s="9"/>
    </row>
    <row r="61" customFormat="false" ht="21.75" hidden="false" customHeight="true" outlineLevel="0" collapsed="false">
      <c r="A61" s="5"/>
      <c r="B61" s="6"/>
      <c r="C61" s="7"/>
      <c r="D61" s="8"/>
      <c r="E61" s="9"/>
      <c r="F61" s="6"/>
      <c r="G61" s="6"/>
      <c r="H61" s="10" t="str">
        <f aca="true">IF(A61="","",IF(AND(ISNUMBER(C61),C61&lt;=0),"6 - Out of stock",IF(OR(NOT(ISNUMBER(C61)),NOT(ISNUMBER(G61)),AND(ISNUMBER(F61),ISNUMBER(G61),F61&gt;G61)),"5 - Missing info",IF(YEAR(TODAY())&gt;G61,"1 - URGENT (past peak)",IF(YEAR(TODAY())=G61,"2 - Drink this year",IF(OR(NOT(ISNUMBER(F61)),YEAR(TODAY())&gt;=F61),"3 - Ready to drink","4 - Hold (too young)"))))))</f>
        <v/>
      </c>
      <c r="I61" s="11" t="str">
        <f aca="true">IF(OR(A61="",NOT(ISNUMBER(G61)),AND(ISNUMBER(C61),C61&lt;=0)),"",G61-YEAR(TODAY()))</f>
        <v/>
      </c>
      <c r="J61" s="9"/>
      <c r="K61" s="8"/>
      <c r="L61" s="9"/>
    </row>
    <row r="62" customFormat="false" ht="21.75" hidden="false" customHeight="true" outlineLevel="0" collapsed="false">
      <c r="A62" s="5"/>
      <c r="B62" s="6"/>
      <c r="C62" s="7"/>
      <c r="D62" s="8"/>
      <c r="E62" s="9"/>
      <c r="F62" s="6"/>
      <c r="G62" s="6"/>
      <c r="H62" s="10" t="str">
        <f aca="true">IF(A62="","",IF(AND(ISNUMBER(C62),C62&lt;=0),"6 - Out of stock",IF(OR(NOT(ISNUMBER(C62)),NOT(ISNUMBER(G62)),AND(ISNUMBER(F62),ISNUMBER(G62),F62&gt;G62)),"5 - Missing info",IF(YEAR(TODAY())&gt;G62,"1 - URGENT (past peak)",IF(YEAR(TODAY())=G62,"2 - Drink this year",IF(OR(NOT(ISNUMBER(F62)),YEAR(TODAY())&gt;=F62),"3 - Ready to drink","4 - Hold (too young)"))))))</f>
        <v/>
      </c>
      <c r="I62" s="11" t="str">
        <f aca="true">IF(OR(A62="",NOT(ISNUMBER(G62)),AND(ISNUMBER(C62),C62&lt;=0)),"",G62-YEAR(TODAY()))</f>
        <v/>
      </c>
      <c r="J62" s="9"/>
      <c r="K62" s="8"/>
      <c r="L62" s="9"/>
    </row>
    <row r="63" customFormat="false" ht="21.75" hidden="false" customHeight="true" outlineLevel="0" collapsed="false">
      <c r="A63" s="5"/>
      <c r="B63" s="6"/>
      <c r="C63" s="7"/>
      <c r="D63" s="8"/>
      <c r="E63" s="9"/>
      <c r="F63" s="6"/>
      <c r="G63" s="6"/>
      <c r="H63" s="10" t="str">
        <f aca="true">IF(A63="","",IF(AND(ISNUMBER(C63),C63&lt;=0),"6 - Out of stock",IF(OR(NOT(ISNUMBER(C63)),NOT(ISNUMBER(G63)),AND(ISNUMBER(F63),ISNUMBER(G63),F63&gt;G63)),"5 - Missing info",IF(YEAR(TODAY())&gt;G63,"1 - URGENT (past peak)",IF(YEAR(TODAY())=G63,"2 - Drink this year",IF(OR(NOT(ISNUMBER(F63)),YEAR(TODAY())&gt;=F63),"3 - Ready to drink","4 - Hold (too young)"))))))</f>
        <v/>
      </c>
      <c r="I63" s="11" t="str">
        <f aca="true">IF(OR(A63="",NOT(ISNUMBER(G63)),AND(ISNUMBER(C63),C63&lt;=0)),"",G63-YEAR(TODAY()))</f>
        <v/>
      </c>
      <c r="J63" s="9"/>
      <c r="K63" s="8"/>
      <c r="L63" s="9"/>
    </row>
    <row r="64" customFormat="false" ht="21.75" hidden="false" customHeight="true" outlineLevel="0" collapsed="false">
      <c r="A64" s="5"/>
      <c r="B64" s="6"/>
      <c r="C64" s="7"/>
      <c r="D64" s="8"/>
      <c r="E64" s="9"/>
      <c r="F64" s="6"/>
      <c r="G64" s="6"/>
      <c r="H64" s="10" t="str">
        <f aca="true">IF(A64="","",IF(AND(ISNUMBER(C64),C64&lt;=0),"6 - Out of stock",IF(OR(NOT(ISNUMBER(C64)),NOT(ISNUMBER(G64)),AND(ISNUMBER(F64),ISNUMBER(G64),F64&gt;G64)),"5 - Missing info",IF(YEAR(TODAY())&gt;G64,"1 - URGENT (past peak)",IF(YEAR(TODAY())=G64,"2 - Drink this year",IF(OR(NOT(ISNUMBER(F64)),YEAR(TODAY())&gt;=F64),"3 - Ready to drink","4 - Hold (too young)"))))))</f>
        <v/>
      </c>
      <c r="I64" s="11" t="str">
        <f aca="true">IF(OR(A64="",NOT(ISNUMBER(G64)),AND(ISNUMBER(C64),C64&lt;=0)),"",G64-YEAR(TODAY()))</f>
        <v/>
      </c>
      <c r="J64" s="9"/>
      <c r="K64" s="8"/>
      <c r="L64" s="9"/>
    </row>
    <row r="65" customFormat="false" ht="21.75" hidden="false" customHeight="true" outlineLevel="0" collapsed="false">
      <c r="A65" s="5"/>
      <c r="B65" s="6"/>
      <c r="C65" s="7"/>
      <c r="D65" s="8"/>
      <c r="E65" s="9"/>
      <c r="F65" s="6"/>
      <c r="G65" s="6"/>
      <c r="H65" s="10" t="str">
        <f aca="true">IF(A65="","",IF(AND(ISNUMBER(C65),C65&lt;=0),"6 - Out of stock",IF(OR(NOT(ISNUMBER(C65)),NOT(ISNUMBER(G65)),AND(ISNUMBER(F65),ISNUMBER(G65),F65&gt;G65)),"5 - Missing info",IF(YEAR(TODAY())&gt;G65,"1 - URGENT (past peak)",IF(YEAR(TODAY())=G65,"2 - Drink this year",IF(OR(NOT(ISNUMBER(F65)),YEAR(TODAY())&gt;=F65),"3 - Ready to drink","4 - Hold (too young)"))))))</f>
        <v/>
      </c>
      <c r="I65" s="11" t="str">
        <f aca="true">IF(OR(A65="",NOT(ISNUMBER(G65)),AND(ISNUMBER(C65),C65&lt;=0)),"",G65-YEAR(TODAY()))</f>
        <v/>
      </c>
      <c r="J65" s="9"/>
      <c r="K65" s="8"/>
      <c r="L65" s="9"/>
    </row>
    <row r="66" customFormat="false" ht="21.75" hidden="false" customHeight="true" outlineLevel="0" collapsed="false">
      <c r="A66" s="5"/>
      <c r="B66" s="6"/>
      <c r="C66" s="7"/>
      <c r="D66" s="8"/>
      <c r="E66" s="9"/>
      <c r="F66" s="6"/>
      <c r="G66" s="6"/>
      <c r="H66" s="10" t="str">
        <f aca="true">IF(A66="","",IF(AND(ISNUMBER(C66),C66&lt;=0),"6 - Out of stock",IF(OR(NOT(ISNUMBER(C66)),NOT(ISNUMBER(G66)),AND(ISNUMBER(F66),ISNUMBER(G66),F66&gt;G66)),"5 - Missing info",IF(YEAR(TODAY())&gt;G66,"1 - URGENT (past peak)",IF(YEAR(TODAY())=G66,"2 - Drink this year",IF(OR(NOT(ISNUMBER(F66)),YEAR(TODAY())&gt;=F66),"3 - Ready to drink","4 - Hold (too young)"))))))</f>
        <v/>
      </c>
      <c r="I66" s="11" t="str">
        <f aca="true">IF(OR(A66="",NOT(ISNUMBER(G66)),AND(ISNUMBER(C66),C66&lt;=0)),"",G66-YEAR(TODAY()))</f>
        <v/>
      </c>
      <c r="J66" s="9"/>
      <c r="K66" s="8"/>
      <c r="L66" s="9"/>
    </row>
    <row r="67" customFormat="false" ht="21.75" hidden="false" customHeight="true" outlineLevel="0" collapsed="false">
      <c r="A67" s="5"/>
      <c r="B67" s="6"/>
      <c r="C67" s="7"/>
      <c r="D67" s="8"/>
      <c r="E67" s="9"/>
      <c r="F67" s="6"/>
      <c r="G67" s="6"/>
      <c r="H67" s="10" t="str">
        <f aca="true">IF(A67="","",IF(AND(ISNUMBER(C67),C67&lt;=0),"6 - Out of stock",IF(OR(NOT(ISNUMBER(C67)),NOT(ISNUMBER(G67)),AND(ISNUMBER(F67),ISNUMBER(G67),F67&gt;G67)),"5 - Missing info",IF(YEAR(TODAY())&gt;G67,"1 - URGENT (past peak)",IF(YEAR(TODAY())=G67,"2 - Drink this year",IF(OR(NOT(ISNUMBER(F67)),YEAR(TODAY())&gt;=F67),"3 - Ready to drink","4 - Hold (too young)"))))))</f>
        <v/>
      </c>
      <c r="I67" s="11" t="str">
        <f aca="true">IF(OR(A67="",NOT(ISNUMBER(G67)),AND(ISNUMBER(C67),C67&lt;=0)),"",G67-YEAR(TODAY()))</f>
        <v/>
      </c>
      <c r="J67" s="9"/>
      <c r="K67" s="8"/>
      <c r="L67" s="9"/>
    </row>
    <row r="68" customFormat="false" ht="21.75" hidden="false" customHeight="true" outlineLevel="0" collapsed="false">
      <c r="A68" s="5"/>
      <c r="B68" s="6"/>
      <c r="C68" s="7"/>
      <c r="D68" s="8"/>
      <c r="E68" s="9"/>
      <c r="F68" s="6"/>
      <c r="G68" s="6"/>
      <c r="H68" s="10" t="str">
        <f aca="true">IF(A68="","",IF(AND(ISNUMBER(C68),C68&lt;=0),"6 - Out of stock",IF(OR(NOT(ISNUMBER(C68)),NOT(ISNUMBER(G68)),AND(ISNUMBER(F68),ISNUMBER(G68),F68&gt;G68)),"5 - Missing info",IF(YEAR(TODAY())&gt;G68,"1 - URGENT (past peak)",IF(YEAR(TODAY())=G68,"2 - Drink this year",IF(OR(NOT(ISNUMBER(F68)),YEAR(TODAY())&gt;=F68),"3 - Ready to drink","4 - Hold (too young)"))))))</f>
        <v/>
      </c>
      <c r="I68" s="11" t="str">
        <f aca="true">IF(OR(A68="",NOT(ISNUMBER(G68)),AND(ISNUMBER(C68),C68&lt;=0)),"",G68-YEAR(TODAY()))</f>
        <v/>
      </c>
      <c r="J68" s="9"/>
      <c r="K68" s="8"/>
      <c r="L68" s="9"/>
    </row>
    <row r="69" customFormat="false" ht="21.75" hidden="false" customHeight="true" outlineLevel="0" collapsed="false">
      <c r="A69" s="5"/>
      <c r="B69" s="6"/>
      <c r="C69" s="7"/>
      <c r="D69" s="8"/>
      <c r="E69" s="9"/>
      <c r="F69" s="6"/>
      <c r="G69" s="6"/>
      <c r="H69" s="10" t="str">
        <f aca="true">IF(A69="","",IF(AND(ISNUMBER(C69),C69&lt;=0),"6 - Out of stock",IF(OR(NOT(ISNUMBER(C69)),NOT(ISNUMBER(G69)),AND(ISNUMBER(F69),ISNUMBER(G69),F69&gt;G69)),"5 - Missing info",IF(YEAR(TODAY())&gt;G69,"1 - URGENT (past peak)",IF(YEAR(TODAY())=G69,"2 - Drink this year",IF(OR(NOT(ISNUMBER(F69)),YEAR(TODAY())&gt;=F69),"3 - Ready to drink","4 - Hold (too young)"))))))</f>
        <v/>
      </c>
      <c r="I69" s="11" t="str">
        <f aca="true">IF(OR(A69="",NOT(ISNUMBER(G69)),AND(ISNUMBER(C69),C69&lt;=0)),"",G69-YEAR(TODAY()))</f>
        <v/>
      </c>
      <c r="J69" s="9"/>
      <c r="K69" s="8"/>
      <c r="L69" s="9"/>
    </row>
    <row r="70" customFormat="false" ht="21.75" hidden="false" customHeight="true" outlineLevel="0" collapsed="false">
      <c r="A70" s="5"/>
      <c r="B70" s="6"/>
      <c r="C70" s="7"/>
      <c r="D70" s="8"/>
      <c r="E70" s="9"/>
      <c r="F70" s="6"/>
      <c r="G70" s="6"/>
      <c r="H70" s="10" t="str">
        <f aca="true">IF(A70="","",IF(AND(ISNUMBER(C70),C70&lt;=0),"6 - Out of stock",IF(OR(NOT(ISNUMBER(C70)),NOT(ISNUMBER(G70)),AND(ISNUMBER(F70),ISNUMBER(G70),F70&gt;G70)),"5 - Missing info",IF(YEAR(TODAY())&gt;G70,"1 - URGENT (past peak)",IF(YEAR(TODAY())=G70,"2 - Drink this year",IF(OR(NOT(ISNUMBER(F70)),YEAR(TODAY())&gt;=F70),"3 - Ready to drink","4 - Hold (too young)"))))))</f>
        <v/>
      </c>
      <c r="I70" s="11" t="str">
        <f aca="true">IF(OR(A70="",NOT(ISNUMBER(G70)),AND(ISNUMBER(C70),C70&lt;=0)),"",G70-YEAR(TODAY()))</f>
        <v/>
      </c>
      <c r="J70" s="9"/>
      <c r="K70" s="8"/>
      <c r="L70" s="9"/>
    </row>
    <row r="71" customFormat="false" ht="21.75" hidden="false" customHeight="true" outlineLevel="0" collapsed="false">
      <c r="A71" s="5"/>
      <c r="B71" s="6"/>
      <c r="C71" s="7"/>
      <c r="D71" s="8"/>
      <c r="E71" s="9"/>
      <c r="F71" s="6"/>
      <c r="G71" s="6"/>
      <c r="H71" s="10" t="str">
        <f aca="true">IF(A71="","",IF(AND(ISNUMBER(C71),C71&lt;=0),"6 - Out of stock",IF(OR(NOT(ISNUMBER(C71)),NOT(ISNUMBER(G71)),AND(ISNUMBER(F71),ISNUMBER(G71),F71&gt;G71)),"5 - Missing info",IF(YEAR(TODAY())&gt;G71,"1 - URGENT (past peak)",IF(YEAR(TODAY())=G71,"2 - Drink this year",IF(OR(NOT(ISNUMBER(F71)),YEAR(TODAY())&gt;=F71),"3 - Ready to drink","4 - Hold (too young)"))))))</f>
        <v/>
      </c>
      <c r="I71" s="11" t="str">
        <f aca="true">IF(OR(A71="",NOT(ISNUMBER(G71)),AND(ISNUMBER(C71),C71&lt;=0)),"",G71-YEAR(TODAY()))</f>
        <v/>
      </c>
      <c r="J71" s="9"/>
      <c r="K71" s="8"/>
      <c r="L71" s="9"/>
    </row>
    <row r="72" customFormat="false" ht="21.75" hidden="false" customHeight="true" outlineLevel="0" collapsed="false">
      <c r="A72" s="5"/>
      <c r="B72" s="6"/>
      <c r="C72" s="7"/>
      <c r="D72" s="8"/>
      <c r="E72" s="9"/>
      <c r="F72" s="6"/>
      <c r="G72" s="6"/>
      <c r="H72" s="10" t="str">
        <f aca="true">IF(A72="","",IF(AND(ISNUMBER(C72),C72&lt;=0),"6 - Out of stock",IF(OR(NOT(ISNUMBER(C72)),NOT(ISNUMBER(G72)),AND(ISNUMBER(F72),ISNUMBER(G72),F72&gt;G72)),"5 - Missing info",IF(YEAR(TODAY())&gt;G72,"1 - URGENT (past peak)",IF(YEAR(TODAY())=G72,"2 - Drink this year",IF(OR(NOT(ISNUMBER(F72)),YEAR(TODAY())&gt;=F72),"3 - Ready to drink","4 - Hold (too young)"))))))</f>
        <v/>
      </c>
      <c r="I72" s="11" t="str">
        <f aca="true">IF(OR(A72="",NOT(ISNUMBER(G72)),AND(ISNUMBER(C72),C72&lt;=0)),"",G72-YEAR(TODAY()))</f>
        <v/>
      </c>
      <c r="J72" s="9"/>
      <c r="K72" s="8"/>
      <c r="L72" s="9"/>
    </row>
    <row r="73" customFormat="false" ht="21.75" hidden="false" customHeight="true" outlineLevel="0" collapsed="false">
      <c r="A73" s="5"/>
      <c r="B73" s="6"/>
      <c r="C73" s="7"/>
      <c r="D73" s="8"/>
      <c r="E73" s="9"/>
      <c r="F73" s="6"/>
      <c r="G73" s="6"/>
      <c r="H73" s="10" t="str">
        <f aca="true">IF(A73="","",IF(AND(ISNUMBER(C73),C73&lt;=0),"6 - Out of stock",IF(OR(NOT(ISNUMBER(C73)),NOT(ISNUMBER(G73)),AND(ISNUMBER(F73),ISNUMBER(G73),F73&gt;G73)),"5 - Missing info",IF(YEAR(TODAY())&gt;G73,"1 - URGENT (past peak)",IF(YEAR(TODAY())=G73,"2 - Drink this year",IF(OR(NOT(ISNUMBER(F73)),YEAR(TODAY())&gt;=F73),"3 - Ready to drink","4 - Hold (too young)"))))))</f>
        <v/>
      </c>
      <c r="I73" s="11" t="str">
        <f aca="true">IF(OR(A73="",NOT(ISNUMBER(G73)),AND(ISNUMBER(C73),C73&lt;=0)),"",G73-YEAR(TODAY()))</f>
        <v/>
      </c>
      <c r="J73" s="9"/>
      <c r="K73" s="8"/>
      <c r="L73" s="9"/>
    </row>
    <row r="74" customFormat="false" ht="21.75" hidden="false" customHeight="true" outlineLevel="0" collapsed="false">
      <c r="A74" s="5"/>
      <c r="B74" s="6"/>
      <c r="C74" s="7"/>
      <c r="D74" s="8"/>
      <c r="E74" s="9"/>
      <c r="F74" s="6"/>
      <c r="G74" s="6"/>
      <c r="H74" s="10" t="str">
        <f aca="true">IF(A74="","",IF(AND(ISNUMBER(C74),C74&lt;=0),"6 - Out of stock",IF(OR(NOT(ISNUMBER(C74)),NOT(ISNUMBER(G74)),AND(ISNUMBER(F74),ISNUMBER(G74),F74&gt;G74)),"5 - Missing info",IF(YEAR(TODAY())&gt;G74,"1 - URGENT (past peak)",IF(YEAR(TODAY())=G74,"2 - Drink this year",IF(OR(NOT(ISNUMBER(F74)),YEAR(TODAY())&gt;=F74),"3 - Ready to drink","4 - Hold (too young)"))))))</f>
        <v/>
      </c>
      <c r="I74" s="11" t="str">
        <f aca="true">IF(OR(A74="",NOT(ISNUMBER(G74)),AND(ISNUMBER(C74),C74&lt;=0)),"",G74-YEAR(TODAY()))</f>
        <v/>
      </c>
      <c r="J74" s="9"/>
      <c r="K74" s="8"/>
      <c r="L74" s="9"/>
    </row>
    <row r="75" customFormat="false" ht="21.75" hidden="false" customHeight="true" outlineLevel="0" collapsed="false">
      <c r="A75" s="5"/>
      <c r="B75" s="6"/>
      <c r="C75" s="7"/>
      <c r="D75" s="8"/>
      <c r="E75" s="9"/>
      <c r="F75" s="6"/>
      <c r="G75" s="6"/>
      <c r="H75" s="10" t="str">
        <f aca="true">IF(A75="","",IF(AND(ISNUMBER(C75),C75&lt;=0),"6 - Out of stock",IF(OR(NOT(ISNUMBER(C75)),NOT(ISNUMBER(G75)),AND(ISNUMBER(F75),ISNUMBER(G75),F75&gt;G75)),"5 - Missing info",IF(YEAR(TODAY())&gt;G75,"1 - URGENT (past peak)",IF(YEAR(TODAY())=G75,"2 - Drink this year",IF(OR(NOT(ISNUMBER(F75)),YEAR(TODAY())&gt;=F75),"3 - Ready to drink","4 - Hold (too young)"))))))</f>
        <v/>
      </c>
      <c r="I75" s="11" t="str">
        <f aca="true">IF(OR(A75="",NOT(ISNUMBER(G75)),AND(ISNUMBER(C75),C75&lt;=0)),"",G75-YEAR(TODAY()))</f>
        <v/>
      </c>
      <c r="J75" s="9"/>
      <c r="K75" s="8"/>
      <c r="L75" s="9"/>
    </row>
    <row r="76" customFormat="false" ht="21.75" hidden="false" customHeight="true" outlineLevel="0" collapsed="false">
      <c r="A76" s="5"/>
      <c r="B76" s="6"/>
      <c r="C76" s="7"/>
      <c r="D76" s="8"/>
      <c r="E76" s="9"/>
      <c r="F76" s="6"/>
      <c r="G76" s="6"/>
      <c r="H76" s="10" t="str">
        <f aca="true">IF(A76="","",IF(AND(ISNUMBER(C76),C76&lt;=0),"6 - Out of stock",IF(OR(NOT(ISNUMBER(C76)),NOT(ISNUMBER(G76)),AND(ISNUMBER(F76),ISNUMBER(G76),F76&gt;G76)),"5 - Missing info",IF(YEAR(TODAY())&gt;G76,"1 - URGENT (past peak)",IF(YEAR(TODAY())=G76,"2 - Drink this year",IF(OR(NOT(ISNUMBER(F76)),YEAR(TODAY())&gt;=F76),"3 - Ready to drink","4 - Hold (too young)"))))))</f>
        <v/>
      </c>
      <c r="I76" s="11" t="str">
        <f aca="true">IF(OR(A76="",NOT(ISNUMBER(G76)),AND(ISNUMBER(C76),C76&lt;=0)),"",G76-YEAR(TODAY()))</f>
        <v/>
      </c>
      <c r="J76" s="9"/>
      <c r="K76" s="8"/>
      <c r="L76" s="9"/>
    </row>
    <row r="77" customFormat="false" ht="21.75" hidden="false" customHeight="true" outlineLevel="0" collapsed="false">
      <c r="A77" s="5"/>
      <c r="B77" s="6"/>
      <c r="C77" s="7"/>
      <c r="D77" s="8"/>
      <c r="E77" s="9"/>
      <c r="F77" s="6"/>
      <c r="G77" s="6"/>
      <c r="H77" s="10" t="str">
        <f aca="true">IF(A77="","",IF(AND(ISNUMBER(C77),C77&lt;=0),"6 - Out of stock",IF(OR(NOT(ISNUMBER(C77)),NOT(ISNUMBER(G77)),AND(ISNUMBER(F77),ISNUMBER(G77),F77&gt;G77)),"5 - Missing info",IF(YEAR(TODAY())&gt;G77,"1 - URGENT (past peak)",IF(YEAR(TODAY())=G77,"2 - Drink this year",IF(OR(NOT(ISNUMBER(F77)),YEAR(TODAY())&gt;=F77),"3 - Ready to drink","4 - Hold (too young)"))))))</f>
        <v/>
      </c>
      <c r="I77" s="11" t="str">
        <f aca="true">IF(OR(A77="",NOT(ISNUMBER(G77)),AND(ISNUMBER(C77),C77&lt;=0)),"",G77-YEAR(TODAY()))</f>
        <v/>
      </c>
      <c r="J77" s="9"/>
      <c r="K77" s="8"/>
      <c r="L77" s="9"/>
    </row>
    <row r="78" customFormat="false" ht="21.75" hidden="false" customHeight="true" outlineLevel="0" collapsed="false">
      <c r="A78" s="5"/>
      <c r="B78" s="6"/>
      <c r="C78" s="7"/>
      <c r="D78" s="8"/>
      <c r="E78" s="9"/>
      <c r="F78" s="6"/>
      <c r="G78" s="6"/>
      <c r="H78" s="10" t="str">
        <f aca="true">IF(A78="","",IF(AND(ISNUMBER(C78),C78&lt;=0),"6 - Out of stock",IF(OR(NOT(ISNUMBER(C78)),NOT(ISNUMBER(G78)),AND(ISNUMBER(F78),ISNUMBER(G78),F78&gt;G78)),"5 - Missing info",IF(YEAR(TODAY())&gt;G78,"1 - URGENT (past peak)",IF(YEAR(TODAY())=G78,"2 - Drink this year",IF(OR(NOT(ISNUMBER(F78)),YEAR(TODAY())&gt;=F78),"3 - Ready to drink","4 - Hold (too young)"))))))</f>
        <v/>
      </c>
      <c r="I78" s="11" t="str">
        <f aca="true">IF(OR(A78="",NOT(ISNUMBER(G78)),AND(ISNUMBER(C78),C78&lt;=0)),"",G78-YEAR(TODAY()))</f>
        <v/>
      </c>
      <c r="J78" s="9"/>
      <c r="K78" s="8"/>
      <c r="L78" s="9"/>
    </row>
    <row r="79" customFormat="false" ht="21.75" hidden="false" customHeight="true" outlineLevel="0" collapsed="false">
      <c r="A79" s="5"/>
      <c r="B79" s="6"/>
      <c r="C79" s="7"/>
      <c r="D79" s="8"/>
      <c r="E79" s="9"/>
      <c r="F79" s="6"/>
      <c r="G79" s="6"/>
      <c r="H79" s="10" t="str">
        <f aca="true">IF(A79="","",IF(AND(ISNUMBER(C79),C79&lt;=0),"6 - Out of stock",IF(OR(NOT(ISNUMBER(C79)),NOT(ISNUMBER(G79)),AND(ISNUMBER(F79),ISNUMBER(G79),F79&gt;G79)),"5 - Missing info",IF(YEAR(TODAY())&gt;G79,"1 - URGENT (past peak)",IF(YEAR(TODAY())=G79,"2 - Drink this year",IF(OR(NOT(ISNUMBER(F79)),YEAR(TODAY())&gt;=F79),"3 - Ready to drink","4 - Hold (too young)"))))))</f>
        <v/>
      </c>
      <c r="I79" s="11" t="str">
        <f aca="true">IF(OR(A79="",NOT(ISNUMBER(G79)),AND(ISNUMBER(C79),C79&lt;=0)),"",G79-YEAR(TODAY()))</f>
        <v/>
      </c>
      <c r="J79" s="9"/>
      <c r="K79" s="8"/>
      <c r="L79" s="9"/>
    </row>
    <row r="80" customFormat="false" ht="21.75" hidden="false" customHeight="true" outlineLevel="0" collapsed="false">
      <c r="A80" s="5"/>
      <c r="B80" s="6"/>
      <c r="C80" s="7"/>
      <c r="D80" s="8"/>
      <c r="E80" s="9"/>
      <c r="F80" s="6"/>
      <c r="G80" s="6"/>
      <c r="H80" s="10" t="str">
        <f aca="true">IF(A80="","",IF(AND(ISNUMBER(C80),C80&lt;=0),"6 - Out of stock",IF(OR(NOT(ISNUMBER(C80)),NOT(ISNUMBER(G80)),AND(ISNUMBER(F80),ISNUMBER(G80),F80&gt;G80)),"5 - Missing info",IF(YEAR(TODAY())&gt;G80,"1 - URGENT (past peak)",IF(YEAR(TODAY())=G80,"2 - Drink this year",IF(OR(NOT(ISNUMBER(F80)),YEAR(TODAY())&gt;=F80),"3 - Ready to drink","4 - Hold (too young)"))))))</f>
        <v/>
      </c>
      <c r="I80" s="11" t="str">
        <f aca="true">IF(OR(A80="",NOT(ISNUMBER(G80)),AND(ISNUMBER(C80),C80&lt;=0)),"",G80-YEAR(TODAY()))</f>
        <v/>
      </c>
      <c r="J80" s="9"/>
      <c r="K80" s="8"/>
      <c r="L80" s="9"/>
    </row>
    <row r="81" customFormat="false" ht="21.75" hidden="false" customHeight="true" outlineLevel="0" collapsed="false">
      <c r="A81" s="5"/>
      <c r="B81" s="6"/>
      <c r="C81" s="7"/>
      <c r="D81" s="8"/>
      <c r="E81" s="9"/>
      <c r="F81" s="6"/>
      <c r="G81" s="6"/>
      <c r="H81" s="10" t="str">
        <f aca="true">IF(A81="","",IF(AND(ISNUMBER(C81),C81&lt;=0),"6 - Out of stock",IF(OR(NOT(ISNUMBER(C81)),NOT(ISNUMBER(G81)),AND(ISNUMBER(F81),ISNUMBER(G81),F81&gt;G81)),"5 - Missing info",IF(YEAR(TODAY())&gt;G81,"1 - URGENT (past peak)",IF(YEAR(TODAY())=G81,"2 - Drink this year",IF(OR(NOT(ISNUMBER(F81)),YEAR(TODAY())&gt;=F81),"3 - Ready to drink","4 - Hold (too young)"))))))</f>
        <v/>
      </c>
      <c r="I81" s="11" t="str">
        <f aca="true">IF(OR(A81="",NOT(ISNUMBER(G81)),AND(ISNUMBER(C81),C81&lt;=0)),"",G81-YEAR(TODAY()))</f>
        <v/>
      </c>
      <c r="J81" s="9"/>
      <c r="K81" s="8"/>
      <c r="L81" s="9"/>
    </row>
    <row r="82" customFormat="false" ht="21.75" hidden="false" customHeight="true" outlineLevel="0" collapsed="false">
      <c r="A82" s="5"/>
      <c r="B82" s="6"/>
      <c r="C82" s="7"/>
      <c r="D82" s="8"/>
      <c r="E82" s="9"/>
      <c r="F82" s="6"/>
      <c r="G82" s="6"/>
      <c r="H82" s="10" t="str">
        <f aca="true">IF(A82="","",IF(AND(ISNUMBER(C82),C82&lt;=0),"6 - Out of stock",IF(OR(NOT(ISNUMBER(C82)),NOT(ISNUMBER(G82)),AND(ISNUMBER(F82),ISNUMBER(G82),F82&gt;G82)),"5 - Missing info",IF(YEAR(TODAY())&gt;G82,"1 - URGENT (past peak)",IF(YEAR(TODAY())=G82,"2 - Drink this year",IF(OR(NOT(ISNUMBER(F82)),YEAR(TODAY())&gt;=F82),"3 - Ready to drink","4 - Hold (too young)"))))))</f>
        <v/>
      </c>
      <c r="I82" s="11" t="str">
        <f aca="true">IF(OR(A82="",NOT(ISNUMBER(G82)),AND(ISNUMBER(C82),C82&lt;=0)),"",G82-YEAR(TODAY()))</f>
        <v/>
      </c>
      <c r="J82" s="9"/>
      <c r="K82" s="8"/>
      <c r="L82" s="9"/>
    </row>
    <row r="83" customFormat="false" ht="21.75" hidden="false" customHeight="true" outlineLevel="0" collapsed="false">
      <c r="A83" s="5"/>
      <c r="B83" s="6"/>
      <c r="C83" s="7"/>
      <c r="D83" s="8"/>
      <c r="E83" s="9"/>
      <c r="F83" s="6"/>
      <c r="G83" s="6"/>
      <c r="H83" s="10" t="str">
        <f aca="true">IF(A83="","",IF(AND(ISNUMBER(C83),C83&lt;=0),"6 - Out of stock",IF(OR(NOT(ISNUMBER(C83)),NOT(ISNUMBER(G83)),AND(ISNUMBER(F83),ISNUMBER(G83),F83&gt;G83)),"5 - Missing info",IF(YEAR(TODAY())&gt;G83,"1 - URGENT (past peak)",IF(YEAR(TODAY())=G83,"2 - Drink this year",IF(OR(NOT(ISNUMBER(F83)),YEAR(TODAY())&gt;=F83),"3 - Ready to drink","4 - Hold (too young)"))))))</f>
        <v/>
      </c>
      <c r="I83" s="11" t="str">
        <f aca="true">IF(OR(A83="",NOT(ISNUMBER(G83)),AND(ISNUMBER(C83),C83&lt;=0)),"",G83-YEAR(TODAY()))</f>
        <v/>
      </c>
      <c r="J83" s="9"/>
      <c r="K83" s="8"/>
      <c r="L83" s="9"/>
    </row>
    <row r="84" customFormat="false" ht="21.75" hidden="false" customHeight="true" outlineLevel="0" collapsed="false">
      <c r="A84" s="5"/>
      <c r="B84" s="6"/>
      <c r="C84" s="7"/>
      <c r="D84" s="8"/>
      <c r="E84" s="9"/>
      <c r="F84" s="6"/>
      <c r="G84" s="6"/>
      <c r="H84" s="10" t="str">
        <f aca="true">IF(A84="","",IF(AND(ISNUMBER(C84),C84&lt;=0),"6 - Out of stock",IF(OR(NOT(ISNUMBER(C84)),NOT(ISNUMBER(G84)),AND(ISNUMBER(F84),ISNUMBER(G84),F84&gt;G84)),"5 - Missing info",IF(YEAR(TODAY())&gt;G84,"1 - URGENT (past peak)",IF(YEAR(TODAY())=G84,"2 - Drink this year",IF(OR(NOT(ISNUMBER(F84)),YEAR(TODAY())&gt;=F84),"3 - Ready to drink","4 - Hold (too young)"))))))</f>
        <v/>
      </c>
      <c r="I84" s="11" t="str">
        <f aca="true">IF(OR(A84="",NOT(ISNUMBER(G84)),AND(ISNUMBER(C84),C84&lt;=0)),"",G84-YEAR(TODAY()))</f>
        <v/>
      </c>
      <c r="J84" s="9"/>
      <c r="K84" s="8"/>
      <c r="L84" s="9"/>
    </row>
    <row r="85" customFormat="false" ht="21.75" hidden="false" customHeight="true" outlineLevel="0" collapsed="false">
      <c r="A85" s="5"/>
      <c r="B85" s="6"/>
      <c r="C85" s="7"/>
      <c r="D85" s="8"/>
      <c r="E85" s="9"/>
      <c r="F85" s="6"/>
      <c r="G85" s="6"/>
      <c r="H85" s="10" t="str">
        <f aca="true">IF(A85="","",IF(AND(ISNUMBER(C85),C85&lt;=0),"6 - Out of stock",IF(OR(NOT(ISNUMBER(C85)),NOT(ISNUMBER(G85)),AND(ISNUMBER(F85),ISNUMBER(G85),F85&gt;G85)),"5 - Missing info",IF(YEAR(TODAY())&gt;G85,"1 - URGENT (past peak)",IF(YEAR(TODAY())=G85,"2 - Drink this year",IF(OR(NOT(ISNUMBER(F85)),YEAR(TODAY())&gt;=F85),"3 - Ready to drink","4 - Hold (too young)"))))))</f>
        <v/>
      </c>
      <c r="I85" s="11" t="str">
        <f aca="true">IF(OR(A85="",NOT(ISNUMBER(G85)),AND(ISNUMBER(C85),C85&lt;=0)),"",G85-YEAR(TODAY()))</f>
        <v/>
      </c>
      <c r="J85" s="9"/>
      <c r="K85" s="8"/>
      <c r="L85" s="9"/>
    </row>
    <row r="86" customFormat="false" ht="21.75" hidden="false" customHeight="true" outlineLevel="0" collapsed="false">
      <c r="A86" s="5"/>
      <c r="B86" s="6"/>
      <c r="C86" s="7"/>
      <c r="D86" s="8"/>
      <c r="E86" s="9"/>
      <c r="F86" s="6"/>
      <c r="G86" s="6"/>
      <c r="H86" s="10" t="str">
        <f aca="true">IF(A86="","",IF(AND(ISNUMBER(C86),C86&lt;=0),"6 - Out of stock",IF(OR(NOT(ISNUMBER(C86)),NOT(ISNUMBER(G86)),AND(ISNUMBER(F86),ISNUMBER(G86),F86&gt;G86)),"5 - Missing info",IF(YEAR(TODAY())&gt;G86,"1 - URGENT (past peak)",IF(YEAR(TODAY())=G86,"2 - Drink this year",IF(OR(NOT(ISNUMBER(F86)),YEAR(TODAY())&gt;=F86),"3 - Ready to drink","4 - Hold (too young)"))))))</f>
        <v/>
      </c>
      <c r="I86" s="11" t="str">
        <f aca="true">IF(OR(A86="",NOT(ISNUMBER(G86)),AND(ISNUMBER(C86),C86&lt;=0)),"",G86-YEAR(TODAY()))</f>
        <v/>
      </c>
      <c r="J86" s="9"/>
      <c r="K86" s="8"/>
      <c r="L86" s="9"/>
    </row>
    <row r="87" customFormat="false" ht="21.75" hidden="false" customHeight="true" outlineLevel="0" collapsed="false">
      <c r="A87" s="5"/>
      <c r="B87" s="6"/>
      <c r="C87" s="7"/>
      <c r="D87" s="8"/>
      <c r="E87" s="9"/>
      <c r="F87" s="6"/>
      <c r="G87" s="6"/>
      <c r="H87" s="10" t="str">
        <f aca="true">IF(A87="","",IF(AND(ISNUMBER(C87),C87&lt;=0),"6 - Out of stock",IF(OR(NOT(ISNUMBER(C87)),NOT(ISNUMBER(G87)),AND(ISNUMBER(F87),ISNUMBER(G87),F87&gt;G87)),"5 - Missing info",IF(YEAR(TODAY())&gt;G87,"1 - URGENT (past peak)",IF(YEAR(TODAY())=G87,"2 - Drink this year",IF(OR(NOT(ISNUMBER(F87)),YEAR(TODAY())&gt;=F87),"3 - Ready to drink","4 - Hold (too young)"))))))</f>
        <v/>
      </c>
      <c r="I87" s="11" t="str">
        <f aca="true">IF(OR(A87="",NOT(ISNUMBER(G87)),AND(ISNUMBER(C87),C87&lt;=0)),"",G87-YEAR(TODAY()))</f>
        <v/>
      </c>
      <c r="J87" s="9"/>
      <c r="K87" s="8"/>
      <c r="L87" s="9"/>
    </row>
    <row r="88" customFormat="false" ht="21.75" hidden="false" customHeight="true" outlineLevel="0" collapsed="false">
      <c r="A88" s="5"/>
      <c r="B88" s="6"/>
      <c r="C88" s="7"/>
      <c r="D88" s="8"/>
      <c r="E88" s="9"/>
      <c r="F88" s="6"/>
      <c r="G88" s="6"/>
      <c r="H88" s="10" t="str">
        <f aca="true">IF(A88="","",IF(AND(ISNUMBER(C88),C88&lt;=0),"6 - Out of stock",IF(OR(NOT(ISNUMBER(C88)),NOT(ISNUMBER(G88)),AND(ISNUMBER(F88),ISNUMBER(G88),F88&gt;G88)),"5 - Missing info",IF(YEAR(TODAY())&gt;G88,"1 - URGENT (past peak)",IF(YEAR(TODAY())=G88,"2 - Drink this year",IF(OR(NOT(ISNUMBER(F88)),YEAR(TODAY())&gt;=F88),"3 - Ready to drink","4 - Hold (too young)"))))))</f>
        <v/>
      </c>
      <c r="I88" s="11" t="str">
        <f aca="true">IF(OR(A88="",NOT(ISNUMBER(G88)),AND(ISNUMBER(C88),C88&lt;=0)),"",G88-YEAR(TODAY()))</f>
        <v/>
      </c>
      <c r="J88" s="9"/>
      <c r="K88" s="8"/>
      <c r="L88" s="9"/>
    </row>
    <row r="89" customFormat="false" ht="21.75" hidden="false" customHeight="true" outlineLevel="0" collapsed="false">
      <c r="A89" s="5"/>
      <c r="B89" s="6"/>
      <c r="C89" s="7"/>
      <c r="D89" s="8"/>
      <c r="E89" s="9"/>
      <c r="F89" s="6"/>
      <c r="G89" s="6"/>
      <c r="H89" s="10" t="str">
        <f aca="true">IF(A89="","",IF(AND(ISNUMBER(C89),C89&lt;=0),"6 - Out of stock",IF(OR(NOT(ISNUMBER(C89)),NOT(ISNUMBER(G89)),AND(ISNUMBER(F89),ISNUMBER(G89),F89&gt;G89)),"5 - Missing info",IF(YEAR(TODAY())&gt;G89,"1 - URGENT (past peak)",IF(YEAR(TODAY())=G89,"2 - Drink this year",IF(OR(NOT(ISNUMBER(F89)),YEAR(TODAY())&gt;=F89),"3 - Ready to drink","4 - Hold (too young)"))))))</f>
        <v/>
      </c>
      <c r="I89" s="11" t="str">
        <f aca="true">IF(OR(A89="",NOT(ISNUMBER(G89)),AND(ISNUMBER(C89),C89&lt;=0)),"",G89-YEAR(TODAY()))</f>
        <v/>
      </c>
      <c r="J89" s="9"/>
      <c r="K89" s="8"/>
      <c r="L89" s="9"/>
    </row>
    <row r="90" customFormat="false" ht="21.75" hidden="false" customHeight="true" outlineLevel="0" collapsed="false">
      <c r="A90" s="5"/>
      <c r="B90" s="6"/>
      <c r="C90" s="7"/>
      <c r="D90" s="8"/>
      <c r="E90" s="9"/>
      <c r="F90" s="6"/>
      <c r="G90" s="6"/>
      <c r="H90" s="10" t="str">
        <f aca="true">IF(A90="","",IF(AND(ISNUMBER(C90),C90&lt;=0),"6 - Out of stock",IF(OR(NOT(ISNUMBER(C90)),NOT(ISNUMBER(G90)),AND(ISNUMBER(F90),ISNUMBER(G90),F90&gt;G90)),"5 - Missing info",IF(YEAR(TODAY())&gt;G90,"1 - URGENT (past peak)",IF(YEAR(TODAY())=G90,"2 - Drink this year",IF(OR(NOT(ISNUMBER(F90)),YEAR(TODAY())&gt;=F90),"3 - Ready to drink","4 - Hold (too young)"))))))</f>
        <v/>
      </c>
      <c r="I90" s="11" t="str">
        <f aca="true">IF(OR(A90="",NOT(ISNUMBER(G90)),AND(ISNUMBER(C90),C90&lt;=0)),"",G90-YEAR(TODAY()))</f>
        <v/>
      </c>
      <c r="J90" s="9"/>
      <c r="K90" s="8"/>
      <c r="L90" s="9"/>
    </row>
    <row r="91" customFormat="false" ht="21.75" hidden="false" customHeight="true" outlineLevel="0" collapsed="false">
      <c r="A91" s="5"/>
      <c r="B91" s="6"/>
      <c r="C91" s="7"/>
      <c r="D91" s="8"/>
      <c r="E91" s="9"/>
      <c r="F91" s="6"/>
      <c r="G91" s="6"/>
      <c r="H91" s="10" t="str">
        <f aca="true">IF(A91="","",IF(AND(ISNUMBER(C91),C91&lt;=0),"6 - Out of stock",IF(OR(NOT(ISNUMBER(C91)),NOT(ISNUMBER(G91)),AND(ISNUMBER(F91),ISNUMBER(G91),F91&gt;G91)),"5 - Missing info",IF(YEAR(TODAY())&gt;G91,"1 - URGENT (past peak)",IF(YEAR(TODAY())=G91,"2 - Drink this year",IF(OR(NOT(ISNUMBER(F91)),YEAR(TODAY())&gt;=F91),"3 - Ready to drink","4 - Hold (too young)"))))))</f>
        <v/>
      </c>
      <c r="I91" s="11" t="str">
        <f aca="true">IF(OR(A91="",NOT(ISNUMBER(G91)),AND(ISNUMBER(C91),C91&lt;=0)),"",G91-YEAR(TODAY()))</f>
        <v/>
      </c>
      <c r="J91" s="9"/>
      <c r="K91" s="8"/>
      <c r="L91" s="9"/>
    </row>
    <row r="92" customFormat="false" ht="21.75" hidden="false" customHeight="true" outlineLevel="0" collapsed="false">
      <c r="A92" s="5"/>
      <c r="B92" s="6"/>
      <c r="C92" s="7"/>
      <c r="D92" s="8"/>
      <c r="E92" s="9"/>
      <c r="F92" s="6"/>
      <c r="G92" s="6"/>
      <c r="H92" s="10" t="str">
        <f aca="true">IF(A92="","",IF(AND(ISNUMBER(C92),C92&lt;=0),"6 - Out of stock",IF(OR(NOT(ISNUMBER(C92)),NOT(ISNUMBER(G92)),AND(ISNUMBER(F92),ISNUMBER(G92),F92&gt;G92)),"5 - Missing info",IF(YEAR(TODAY())&gt;G92,"1 - URGENT (past peak)",IF(YEAR(TODAY())=G92,"2 - Drink this year",IF(OR(NOT(ISNUMBER(F92)),YEAR(TODAY())&gt;=F92),"3 - Ready to drink","4 - Hold (too young)"))))))</f>
        <v/>
      </c>
      <c r="I92" s="11" t="str">
        <f aca="true">IF(OR(A92="",NOT(ISNUMBER(G92)),AND(ISNUMBER(C92),C92&lt;=0)),"",G92-YEAR(TODAY()))</f>
        <v/>
      </c>
      <c r="J92" s="9"/>
      <c r="K92" s="8"/>
      <c r="L92" s="9"/>
    </row>
    <row r="93" customFormat="false" ht="21.75" hidden="false" customHeight="true" outlineLevel="0" collapsed="false">
      <c r="A93" s="5"/>
      <c r="B93" s="6"/>
      <c r="C93" s="7"/>
      <c r="D93" s="8"/>
      <c r="E93" s="9"/>
      <c r="F93" s="6"/>
      <c r="G93" s="6"/>
      <c r="H93" s="10" t="str">
        <f aca="true">IF(A93="","",IF(AND(ISNUMBER(C93),C93&lt;=0),"6 - Out of stock",IF(OR(NOT(ISNUMBER(C93)),NOT(ISNUMBER(G93)),AND(ISNUMBER(F93),ISNUMBER(G93),F93&gt;G93)),"5 - Missing info",IF(YEAR(TODAY())&gt;G93,"1 - URGENT (past peak)",IF(YEAR(TODAY())=G93,"2 - Drink this year",IF(OR(NOT(ISNUMBER(F93)),YEAR(TODAY())&gt;=F93),"3 - Ready to drink","4 - Hold (too young)"))))))</f>
        <v/>
      </c>
      <c r="I93" s="11" t="str">
        <f aca="true">IF(OR(A93="",NOT(ISNUMBER(G93)),AND(ISNUMBER(C93),C93&lt;=0)),"",G93-YEAR(TODAY()))</f>
        <v/>
      </c>
      <c r="J93" s="9"/>
      <c r="K93" s="8"/>
      <c r="L93" s="9"/>
    </row>
    <row r="94" customFormat="false" ht="21.75" hidden="false" customHeight="true" outlineLevel="0" collapsed="false">
      <c r="A94" s="5"/>
      <c r="B94" s="6"/>
      <c r="C94" s="7"/>
      <c r="D94" s="8"/>
      <c r="E94" s="9"/>
      <c r="F94" s="6"/>
      <c r="G94" s="6"/>
      <c r="H94" s="10" t="str">
        <f aca="true">IF(A94="","",IF(AND(ISNUMBER(C94),C94&lt;=0),"6 - Out of stock",IF(OR(NOT(ISNUMBER(C94)),NOT(ISNUMBER(G94)),AND(ISNUMBER(F94),ISNUMBER(G94),F94&gt;G94)),"5 - Missing info",IF(YEAR(TODAY())&gt;G94,"1 - URGENT (past peak)",IF(YEAR(TODAY())=G94,"2 - Drink this year",IF(OR(NOT(ISNUMBER(F94)),YEAR(TODAY())&gt;=F94),"3 - Ready to drink","4 - Hold (too young)"))))))</f>
        <v/>
      </c>
      <c r="I94" s="11" t="str">
        <f aca="true">IF(OR(A94="",NOT(ISNUMBER(G94)),AND(ISNUMBER(C94),C94&lt;=0)),"",G94-YEAR(TODAY()))</f>
        <v/>
      </c>
      <c r="J94" s="9"/>
      <c r="K94" s="8"/>
      <c r="L94" s="9"/>
    </row>
    <row r="95" customFormat="false" ht="21.75" hidden="false" customHeight="true" outlineLevel="0" collapsed="false">
      <c r="A95" s="5"/>
      <c r="B95" s="6"/>
      <c r="C95" s="7"/>
      <c r="D95" s="8"/>
      <c r="E95" s="9"/>
      <c r="F95" s="6"/>
      <c r="G95" s="6"/>
      <c r="H95" s="10" t="str">
        <f aca="true">IF(A95="","",IF(AND(ISNUMBER(C95),C95&lt;=0),"6 - Out of stock",IF(OR(NOT(ISNUMBER(C95)),NOT(ISNUMBER(G95)),AND(ISNUMBER(F95),ISNUMBER(G95),F95&gt;G95)),"5 - Missing info",IF(YEAR(TODAY())&gt;G95,"1 - URGENT (past peak)",IF(YEAR(TODAY())=G95,"2 - Drink this year",IF(OR(NOT(ISNUMBER(F95)),YEAR(TODAY())&gt;=F95),"3 - Ready to drink","4 - Hold (too young)"))))))</f>
        <v/>
      </c>
      <c r="I95" s="11" t="str">
        <f aca="true">IF(OR(A95="",NOT(ISNUMBER(G95)),AND(ISNUMBER(C95),C95&lt;=0)),"",G95-YEAR(TODAY()))</f>
        <v/>
      </c>
      <c r="J95" s="9"/>
      <c r="K95" s="8"/>
      <c r="L95" s="9"/>
    </row>
    <row r="96" customFormat="false" ht="21.75" hidden="false" customHeight="true" outlineLevel="0" collapsed="false">
      <c r="A96" s="5"/>
      <c r="B96" s="6"/>
      <c r="C96" s="7"/>
      <c r="D96" s="8"/>
      <c r="E96" s="9"/>
      <c r="F96" s="6"/>
      <c r="G96" s="6"/>
      <c r="H96" s="10" t="str">
        <f aca="true">IF(A96="","",IF(AND(ISNUMBER(C96),C96&lt;=0),"6 - Out of stock",IF(OR(NOT(ISNUMBER(C96)),NOT(ISNUMBER(G96)),AND(ISNUMBER(F96),ISNUMBER(G96),F96&gt;G96)),"5 - Missing info",IF(YEAR(TODAY())&gt;G96,"1 - URGENT (past peak)",IF(YEAR(TODAY())=G96,"2 - Drink this year",IF(OR(NOT(ISNUMBER(F96)),YEAR(TODAY())&gt;=F96),"3 - Ready to drink","4 - Hold (too young)"))))))</f>
        <v/>
      </c>
      <c r="I96" s="11" t="str">
        <f aca="true">IF(OR(A96="",NOT(ISNUMBER(G96)),AND(ISNUMBER(C96),C96&lt;=0)),"",G96-YEAR(TODAY()))</f>
        <v/>
      </c>
      <c r="J96" s="9"/>
      <c r="K96" s="8"/>
      <c r="L96" s="9"/>
    </row>
    <row r="97" customFormat="false" ht="21.75" hidden="false" customHeight="true" outlineLevel="0" collapsed="false">
      <c r="A97" s="5"/>
      <c r="B97" s="6"/>
      <c r="C97" s="7"/>
      <c r="D97" s="8"/>
      <c r="E97" s="9"/>
      <c r="F97" s="6"/>
      <c r="G97" s="6"/>
      <c r="H97" s="10" t="str">
        <f aca="true">IF(A97="","",IF(AND(ISNUMBER(C97),C97&lt;=0),"6 - Out of stock",IF(OR(NOT(ISNUMBER(C97)),NOT(ISNUMBER(G97)),AND(ISNUMBER(F97),ISNUMBER(G97),F97&gt;G97)),"5 - Missing info",IF(YEAR(TODAY())&gt;G97,"1 - URGENT (past peak)",IF(YEAR(TODAY())=G97,"2 - Drink this year",IF(OR(NOT(ISNUMBER(F97)),YEAR(TODAY())&gt;=F97),"3 - Ready to drink","4 - Hold (too young)"))))))</f>
        <v/>
      </c>
      <c r="I97" s="11" t="str">
        <f aca="true">IF(OR(A97="",NOT(ISNUMBER(G97)),AND(ISNUMBER(C97),C97&lt;=0)),"",G97-YEAR(TODAY()))</f>
        <v/>
      </c>
      <c r="J97" s="9"/>
      <c r="K97" s="8"/>
      <c r="L97" s="9"/>
    </row>
    <row r="98" customFormat="false" ht="21.75" hidden="false" customHeight="true" outlineLevel="0" collapsed="false">
      <c r="A98" s="5"/>
      <c r="B98" s="6"/>
      <c r="C98" s="7"/>
      <c r="D98" s="8"/>
      <c r="E98" s="9"/>
      <c r="F98" s="6"/>
      <c r="G98" s="6"/>
      <c r="H98" s="10" t="str">
        <f aca="true">IF(A98="","",IF(AND(ISNUMBER(C98),C98&lt;=0),"6 - Out of stock",IF(OR(NOT(ISNUMBER(C98)),NOT(ISNUMBER(G98)),AND(ISNUMBER(F98),ISNUMBER(G98),F98&gt;G98)),"5 - Missing info",IF(YEAR(TODAY())&gt;G98,"1 - URGENT (past peak)",IF(YEAR(TODAY())=G98,"2 - Drink this year",IF(OR(NOT(ISNUMBER(F98)),YEAR(TODAY())&gt;=F98),"3 - Ready to drink","4 - Hold (too young)"))))))</f>
        <v/>
      </c>
      <c r="I98" s="11" t="str">
        <f aca="true">IF(OR(A98="",NOT(ISNUMBER(G98)),AND(ISNUMBER(C98),C98&lt;=0)),"",G98-YEAR(TODAY()))</f>
        <v/>
      </c>
      <c r="J98" s="9"/>
      <c r="K98" s="8"/>
      <c r="L98" s="9"/>
    </row>
    <row r="99" customFormat="false" ht="21.75" hidden="false" customHeight="true" outlineLevel="0" collapsed="false">
      <c r="A99" s="5"/>
      <c r="B99" s="6"/>
      <c r="C99" s="7"/>
      <c r="D99" s="8"/>
      <c r="E99" s="9"/>
      <c r="F99" s="6"/>
      <c r="G99" s="6"/>
      <c r="H99" s="10" t="str">
        <f aca="true">IF(A99="","",IF(AND(ISNUMBER(C99),C99&lt;=0),"6 - Out of stock",IF(OR(NOT(ISNUMBER(C99)),NOT(ISNUMBER(G99)),AND(ISNUMBER(F99),ISNUMBER(G99),F99&gt;G99)),"5 - Missing info",IF(YEAR(TODAY())&gt;G99,"1 - URGENT (past peak)",IF(YEAR(TODAY())=G99,"2 - Drink this year",IF(OR(NOT(ISNUMBER(F99)),YEAR(TODAY())&gt;=F99),"3 - Ready to drink","4 - Hold (too young)"))))))</f>
        <v/>
      </c>
      <c r="I99" s="11" t="str">
        <f aca="true">IF(OR(A99="",NOT(ISNUMBER(G99)),AND(ISNUMBER(C99),C99&lt;=0)),"",G99-YEAR(TODAY()))</f>
        <v/>
      </c>
      <c r="J99" s="9"/>
      <c r="K99" s="8"/>
      <c r="L99" s="9"/>
    </row>
    <row r="100" customFormat="false" ht="21.75" hidden="false" customHeight="true" outlineLevel="0" collapsed="false">
      <c r="A100" s="5"/>
      <c r="B100" s="6"/>
      <c r="C100" s="7"/>
      <c r="D100" s="8"/>
      <c r="E100" s="9"/>
      <c r="F100" s="6"/>
      <c r="G100" s="6"/>
      <c r="H100" s="10" t="str">
        <f aca="true">IF(A100="","",IF(AND(ISNUMBER(C100),C100&lt;=0),"6 - Out of stock",IF(OR(NOT(ISNUMBER(C100)),NOT(ISNUMBER(G100)),AND(ISNUMBER(F100),ISNUMBER(G100),F100&gt;G100)),"5 - Missing info",IF(YEAR(TODAY())&gt;G100,"1 - URGENT (past peak)",IF(YEAR(TODAY())=G100,"2 - Drink this year",IF(OR(NOT(ISNUMBER(F100)),YEAR(TODAY())&gt;=F100),"3 - Ready to drink","4 - Hold (too young)"))))))</f>
        <v/>
      </c>
      <c r="I100" s="11" t="str">
        <f aca="true">IF(OR(A100="",NOT(ISNUMBER(G100)),AND(ISNUMBER(C100),C100&lt;=0)),"",G100-YEAR(TODAY()))</f>
        <v/>
      </c>
      <c r="J100" s="9"/>
      <c r="K100" s="8"/>
      <c r="L100" s="9"/>
    </row>
    <row r="101" customFormat="false" ht="21.75" hidden="false" customHeight="true" outlineLevel="0" collapsed="false">
      <c r="A101" s="5"/>
      <c r="B101" s="6"/>
      <c r="C101" s="7"/>
      <c r="D101" s="8"/>
      <c r="E101" s="9"/>
      <c r="F101" s="6"/>
      <c r="G101" s="6"/>
      <c r="H101" s="10" t="str">
        <f aca="true">IF(A101="","",IF(AND(ISNUMBER(C101),C101&lt;=0),"6 - Out of stock",IF(OR(NOT(ISNUMBER(C101)),NOT(ISNUMBER(G101)),AND(ISNUMBER(F101),ISNUMBER(G101),F101&gt;G101)),"5 - Missing info",IF(YEAR(TODAY())&gt;G101,"1 - URGENT (past peak)",IF(YEAR(TODAY())=G101,"2 - Drink this year",IF(OR(NOT(ISNUMBER(F101)),YEAR(TODAY())&gt;=F101),"3 - Ready to drink","4 - Hold (too young)"))))))</f>
        <v/>
      </c>
      <c r="I101" s="11" t="str">
        <f aca="true">IF(OR(A101="",NOT(ISNUMBER(G101)),AND(ISNUMBER(C101),C101&lt;=0)),"",G101-YEAR(TODAY()))</f>
        <v/>
      </c>
      <c r="J101" s="9"/>
      <c r="K101" s="8"/>
      <c r="L101" s="9"/>
    </row>
    <row r="102" customFormat="false" ht="21.75" hidden="false" customHeight="true" outlineLevel="0" collapsed="false">
      <c r="A102" s="5"/>
      <c r="B102" s="6"/>
      <c r="C102" s="7"/>
      <c r="D102" s="8"/>
      <c r="E102" s="9"/>
      <c r="F102" s="6"/>
      <c r="G102" s="6"/>
      <c r="H102" s="10" t="str">
        <f aca="true">IF(A102="","",IF(AND(ISNUMBER(C102),C102&lt;=0),"6 - Out of stock",IF(OR(NOT(ISNUMBER(C102)),NOT(ISNUMBER(G102)),AND(ISNUMBER(F102),ISNUMBER(G102),F102&gt;G102)),"5 - Missing info",IF(YEAR(TODAY())&gt;G102,"1 - URGENT (past peak)",IF(YEAR(TODAY())=G102,"2 - Drink this year",IF(OR(NOT(ISNUMBER(F102)),YEAR(TODAY())&gt;=F102),"3 - Ready to drink","4 - Hold (too young)"))))))</f>
        <v/>
      </c>
      <c r="I102" s="11" t="str">
        <f aca="true">IF(OR(A102="",NOT(ISNUMBER(G102)),AND(ISNUMBER(C102),C102&lt;=0)),"",G102-YEAR(TODAY()))</f>
        <v/>
      </c>
      <c r="J102" s="9"/>
      <c r="K102" s="8"/>
      <c r="L102" s="9"/>
    </row>
    <row r="103" customFormat="false" ht="21.75" hidden="false" customHeight="true" outlineLevel="0" collapsed="false">
      <c r="A103" s="5"/>
      <c r="B103" s="6"/>
      <c r="C103" s="7"/>
      <c r="D103" s="8"/>
      <c r="E103" s="9"/>
      <c r="F103" s="6"/>
      <c r="G103" s="6"/>
      <c r="H103" s="10" t="str">
        <f aca="true">IF(A103="","",IF(AND(ISNUMBER(C103),C103&lt;=0),"6 - Out of stock",IF(OR(NOT(ISNUMBER(C103)),NOT(ISNUMBER(G103)),AND(ISNUMBER(F103),ISNUMBER(G103),F103&gt;G103)),"5 - Missing info",IF(YEAR(TODAY())&gt;G103,"1 - URGENT (past peak)",IF(YEAR(TODAY())=G103,"2 - Drink this year",IF(OR(NOT(ISNUMBER(F103)),YEAR(TODAY())&gt;=F103),"3 - Ready to drink","4 - Hold (too young)"))))))</f>
        <v/>
      </c>
      <c r="I103" s="11" t="str">
        <f aca="true">IF(OR(A103="",NOT(ISNUMBER(G103)),AND(ISNUMBER(C103),C103&lt;=0)),"",G103-YEAR(TODAY()))</f>
        <v/>
      </c>
      <c r="J103" s="9"/>
      <c r="K103" s="8"/>
      <c r="L103" s="9"/>
    </row>
    <row r="104" customFormat="false" ht="21.75" hidden="false" customHeight="true" outlineLevel="0" collapsed="false">
      <c r="A104" s="5"/>
      <c r="B104" s="6"/>
      <c r="C104" s="7"/>
      <c r="D104" s="8"/>
      <c r="E104" s="9"/>
      <c r="F104" s="6"/>
      <c r="G104" s="6"/>
      <c r="H104" s="10" t="str">
        <f aca="true">IF(A104="","",IF(AND(ISNUMBER(C104),C104&lt;=0),"6 - Out of stock",IF(OR(NOT(ISNUMBER(C104)),NOT(ISNUMBER(G104)),AND(ISNUMBER(F104),ISNUMBER(G104),F104&gt;G104)),"5 - Missing info",IF(YEAR(TODAY())&gt;G104,"1 - URGENT (past peak)",IF(YEAR(TODAY())=G104,"2 - Drink this year",IF(OR(NOT(ISNUMBER(F104)),YEAR(TODAY())&gt;=F104),"3 - Ready to drink","4 - Hold (too young)"))))))</f>
        <v/>
      </c>
      <c r="I104" s="11" t="str">
        <f aca="true">IF(OR(A104="",NOT(ISNUMBER(G104)),AND(ISNUMBER(C104),C104&lt;=0)),"",G104-YEAR(TODAY()))</f>
        <v/>
      </c>
      <c r="J104" s="9"/>
      <c r="K104" s="8"/>
      <c r="L104" s="9"/>
    </row>
    <row r="105" customFormat="false" ht="21.75" hidden="false" customHeight="true" outlineLevel="0" collapsed="false">
      <c r="A105" s="5"/>
      <c r="B105" s="6"/>
      <c r="C105" s="7"/>
      <c r="D105" s="8"/>
      <c r="E105" s="9"/>
      <c r="F105" s="6"/>
      <c r="G105" s="6"/>
      <c r="H105" s="10" t="str">
        <f aca="true">IF(A105="","",IF(AND(ISNUMBER(C105),C105&lt;=0),"6 - Out of stock",IF(OR(NOT(ISNUMBER(C105)),NOT(ISNUMBER(G105)),AND(ISNUMBER(F105),ISNUMBER(G105),F105&gt;G105)),"5 - Missing info",IF(YEAR(TODAY())&gt;G105,"1 - URGENT (past peak)",IF(YEAR(TODAY())=G105,"2 - Drink this year",IF(OR(NOT(ISNUMBER(F105)),YEAR(TODAY())&gt;=F105),"3 - Ready to drink","4 - Hold (too young)"))))))</f>
        <v/>
      </c>
      <c r="I105" s="11" t="str">
        <f aca="true">IF(OR(A105="",NOT(ISNUMBER(G105)),AND(ISNUMBER(C105),C105&lt;=0)),"",G105-YEAR(TODAY()))</f>
        <v/>
      </c>
      <c r="J105" s="9"/>
      <c r="K105" s="8"/>
      <c r="L105" s="9"/>
    </row>
    <row r="106" customFormat="false" ht="21.75" hidden="false" customHeight="true" outlineLevel="0" collapsed="false">
      <c r="A106" s="5"/>
      <c r="B106" s="6"/>
      <c r="C106" s="7"/>
      <c r="D106" s="8"/>
      <c r="E106" s="9"/>
      <c r="F106" s="6"/>
      <c r="G106" s="6"/>
      <c r="H106" s="10" t="str">
        <f aca="true">IF(A106="","",IF(AND(ISNUMBER(C106),C106&lt;=0),"6 - Out of stock",IF(OR(NOT(ISNUMBER(C106)),NOT(ISNUMBER(G106)),AND(ISNUMBER(F106),ISNUMBER(G106),F106&gt;G106)),"5 - Missing info",IF(YEAR(TODAY())&gt;G106,"1 - URGENT (past peak)",IF(YEAR(TODAY())=G106,"2 - Drink this year",IF(OR(NOT(ISNUMBER(F106)),YEAR(TODAY())&gt;=F106),"3 - Ready to drink","4 - Hold (too young)"))))))</f>
        <v/>
      </c>
      <c r="I106" s="11" t="str">
        <f aca="true">IF(OR(A106="",NOT(ISNUMBER(G106)),AND(ISNUMBER(C106),C106&lt;=0)),"",G106-YEAR(TODAY()))</f>
        <v/>
      </c>
      <c r="J106" s="9"/>
      <c r="K106" s="8"/>
      <c r="L106" s="9"/>
    </row>
    <row r="107" customFormat="false" ht="21.75" hidden="false" customHeight="true" outlineLevel="0" collapsed="false">
      <c r="A107" s="5"/>
      <c r="B107" s="6"/>
      <c r="C107" s="7"/>
      <c r="D107" s="8"/>
      <c r="E107" s="9"/>
      <c r="F107" s="6"/>
      <c r="G107" s="6"/>
      <c r="H107" s="10" t="str">
        <f aca="true">IF(A107="","",IF(AND(ISNUMBER(C107),C107&lt;=0),"6 - Out of stock",IF(OR(NOT(ISNUMBER(C107)),NOT(ISNUMBER(G107)),AND(ISNUMBER(F107),ISNUMBER(G107),F107&gt;G107)),"5 - Missing info",IF(YEAR(TODAY())&gt;G107,"1 - URGENT (past peak)",IF(YEAR(TODAY())=G107,"2 - Drink this year",IF(OR(NOT(ISNUMBER(F107)),YEAR(TODAY())&gt;=F107),"3 - Ready to drink","4 - Hold (too young)"))))))</f>
        <v/>
      </c>
      <c r="I107" s="11" t="str">
        <f aca="true">IF(OR(A107="",NOT(ISNUMBER(G107)),AND(ISNUMBER(C107),C107&lt;=0)),"",G107-YEAR(TODAY()))</f>
        <v/>
      </c>
      <c r="J107" s="9"/>
      <c r="K107" s="8"/>
      <c r="L107" s="9"/>
    </row>
    <row r="108" customFormat="false" ht="21.75" hidden="false" customHeight="true" outlineLevel="0" collapsed="false">
      <c r="A108" s="5"/>
      <c r="B108" s="6"/>
      <c r="C108" s="7"/>
      <c r="D108" s="8"/>
      <c r="E108" s="9"/>
      <c r="F108" s="6"/>
      <c r="G108" s="6"/>
      <c r="H108" s="10" t="str">
        <f aca="true">IF(A108="","",IF(AND(ISNUMBER(C108),C108&lt;=0),"6 - Out of stock",IF(OR(NOT(ISNUMBER(C108)),NOT(ISNUMBER(G108)),AND(ISNUMBER(F108),ISNUMBER(G108),F108&gt;G108)),"5 - Missing info",IF(YEAR(TODAY())&gt;G108,"1 - URGENT (past peak)",IF(YEAR(TODAY())=G108,"2 - Drink this year",IF(OR(NOT(ISNUMBER(F108)),YEAR(TODAY())&gt;=F108),"3 - Ready to drink","4 - Hold (too young)"))))))</f>
        <v/>
      </c>
      <c r="I108" s="11" t="str">
        <f aca="true">IF(OR(A108="",NOT(ISNUMBER(G108)),AND(ISNUMBER(C108),C108&lt;=0)),"",G108-YEAR(TODAY()))</f>
        <v/>
      </c>
      <c r="J108" s="9"/>
      <c r="K108" s="8"/>
      <c r="L108" s="9"/>
    </row>
    <row r="109" customFormat="false" ht="21.75" hidden="false" customHeight="true" outlineLevel="0" collapsed="false">
      <c r="A109" s="5"/>
      <c r="B109" s="6"/>
      <c r="C109" s="7"/>
      <c r="D109" s="8"/>
      <c r="E109" s="9"/>
      <c r="F109" s="6"/>
      <c r="G109" s="6"/>
      <c r="H109" s="10" t="str">
        <f aca="true">IF(A109="","",IF(AND(ISNUMBER(C109),C109&lt;=0),"6 - Out of stock",IF(OR(NOT(ISNUMBER(C109)),NOT(ISNUMBER(G109)),AND(ISNUMBER(F109),ISNUMBER(G109),F109&gt;G109)),"5 - Missing info",IF(YEAR(TODAY())&gt;G109,"1 - URGENT (past peak)",IF(YEAR(TODAY())=G109,"2 - Drink this year",IF(OR(NOT(ISNUMBER(F109)),YEAR(TODAY())&gt;=F109),"3 - Ready to drink","4 - Hold (too young)"))))))</f>
        <v/>
      </c>
      <c r="I109" s="11" t="str">
        <f aca="true">IF(OR(A109="",NOT(ISNUMBER(G109)),AND(ISNUMBER(C109),C109&lt;=0)),"",G109-YEAR(TODAY()))</f>
        <v/>
      </c>
      <c r="J109" s="9"/>
      <c r="K109" s="8"/>
      <c r="L109" s="9"/>
    </row>
    <row r="110" customFormat="false" ht="21.75" hidden="false" customHeight="true" outlineLevel="0" collapsed="false">
      <c r="A110" s="5"/>
      <c r="B110" s="6"/>
      <c r="C110" s="7"/>
      <c r="D110" s="8"/>
      <c r="E110" s="9"/>
      <c r="F110" s="6"/>
      <c r="G110" s="6"/>
      <c r="H110" s="10" t="str">
        <f aca="true">IF(A110="","",IF(AND(ISNUMBER(C110),C110&lt;=0),"6 - Out of stock",IF(OR(NOT(ISNUMBER(C110)),NOT(ISNUMBER(G110)),AND(ISNUMBER(F110),ISNUMBER(G110),F110&gt;G110)),"5 - Missing info",IF(YEAR(TODAY())&gt;G110,"1 - URGENT (past peak)",IF(YEAR(TODAY())=G110,"2 - Drink this year",IF(OR(NOT(ISNUMBER(F110)),YEAR(TODAY())&gt;=F110),"3 - Ready to drink","4 - Hold (too young)"))))))</f>
        <v/>
      </c>
      <c r="I110" s="11" t="str">
        <f aca="true">IF(OR(A110="",NOT(ISNUMBER(G110)),AND(ISNUMBER(C110),C110&lt;=0)),"",G110-YEAR(TODAY()))</f>
        <v/>
      </c>
      <c r="J110" s="9"/>
      <c r="K110" s="8"/>
      <c r="L110" s="9"/>
    </row>
    <row r="111" customFormat="false" ht="21.75" hidden="false" customHeight="true" outlineLevel="0" collapsed="false">
      <c r="A111" s="5"/>
      <c r="B111" s="6"/>
      <c r="C111" s="7"/>
      <c r="D111" s="8"/>
      <c r="E111" s="9"/>
      <c r="F111" s="6"/>
      <c r="G111" s="6"/>
      <c r="H111" s="10" t="str">
        <f aca="true">IF(A111="","",IF(AND(ISNUMBER(C111),C111&lt;=0),"6 - Out of stock",IF(OR(NOT(ISNUMBER(C111)),NOT(ISNUMBER(G111)),AND(ISNUMBER(F111),ISNUMBER(G111),F111&gt;G111)),"5 - Missing info",IF(YEAR(TODAY())&gt;G111,"1 - URGENT (past peak)",IF(YEAR(TODAY())=G111,"2 - Drink this year",IF(OR(NOT(ISNUMBER(F111)),YEAR(TODAY())&gt;=F111),"3 - Ready to drink","4 - Hold (too young)"))))))</f>
        <v/>
      </c>
      <c r="I111" s="11" t="str">
        <f aca="true">IF(OR(A111="",NOT(ISNUMBER(G111)),AND(ISNUMBER(C111),C111&lt;=0)),"",G111-YEAR(TODAY()))</f>
        <v/>
      </c>
      <c r="J111" s="9"/>
      <c r="K111" s="8"/>
      <c r="L111" s="9"/>
    </row>
    <row r="112" customFormat="false" ht="21.75" hidden="false" customHeight="true" outlineLevel="0" collapsed="false">
      <c r="A112" s="5"/>
      <c r="B112" s="6"/>
      <c r="C112" s="7"/>
      <c r="D112" s="8"/>
      <c r="E112" s="9"/>
      <c r="F112" s="6"/>
      <c r="G112" s="6"/>
      <c r="H112" s="10" t="str">
        <f aca="true">IF(A112="","",IF(AND(ISNUMBER(C112),C112&lt;=0),"6 - Out of stock",IF(OR(NOT(ISNUMBER(C112)),NOT(ISNUMBER(G112)),AND(ISNUMBER(F112),ISNUMBER(G112),F112&gt;G112)),"5 - Missing info",IF(YEAR(TODAY())&gt;G112,"1 - URGENT (past peak)",IF(YEAR(TODAY())=G112,"2 - Drink this year",IF(OR(NOT(ISNUMBER(F112)),YEAR(TODAY())&gt;=F112),"3 - Ready to drink","4 - Hold (too young)"))))))</f>
        <v/>
      </c>
      <c r="I112" s="11" t="str">
        <f aca="true">IF(OR(A112="",NOT(ISNUMBER(G112)),AND(ISNUMBER(C112),C112&lt;=0)),"",G112-YEAR(TODAY()))</f>
        <v/>
      </c>
      <c r="J112" s="9"/>
      <c r="K112" s="8"/>
      <c r="L112" s="9"/>
    </row>
    <row r="113" customFormat="false" ht="21.75" hidden="false" customHeight="true" outlineLevel="0" collapsed="false">
      <c r="A113" s="5"/>
      <c r="B113" s="6"/>
      <c r="C113" s="7"/>
      <c r="D113" s="8"/>
      <c r="E113" s="9"/>
      <c r="F113" s="6"/>
      <c r="G113" s="6"/>
      <c r="H113" s="10" t="str">
        <f aca="true">IF(A113="","",IF(AND(ISNUMBER(C113),C113&lt;=0),"6 - Out of stock",IF(OR(NOT(ISNUMBER(C113)),NOT(ISNUMBER(G113)),AND(ISNUMBER(F113),ISNUMBER(G113),F113&gt;G113)),"5 - Missing info",IF(YEAR(TODAY())&gt;G113,"1 - URGENT (past peak)",IF(YEAR(TODAY())=G113,"2 - Drink this year",IF(OR(NOT(ISNUMBER(F113)),YEAR(TODAY())&gt;=F113),"3 - Ready to drink","4 - Hold (too young)"))))))</f>
        <v/>
      </c>
      <c r="I113" s="11" t="str">
        <f aca="true">IF(OR(A113="",NOT(ISNUMBER(G113)),AND(ISNUMBER(C113),C113&lt;=0)),"",G113-YEAR(TODAY()))</f>
        <v/>
      </c>
      <c r="J113" s="9"/>
      <c r="K113" s="8"/>
      <c r="L113" s="9"/>
    </row>
    <row r="114" customFormat="false" ht="21.75" hidden="false" customHeight="true" outlineLevel="0" collapsed="false">
      <c r="A114" s="5"/>
      <c r="B114" s="6"/>
      <c r="C114" s="7"/>
      <c r="D114" s="8"/>
      <c r="E114" s="9"/>
      <c r="F114" s="6"/>
      <c r="G114" s="6"/>
      <c r="H114" s="10" t="str">
        <f aca="true">IF(A114="","",IF(AND(ISNUMBER(C114),C114&lt;=0),"6 - Out of stock",IF(OR(NOT(ISNUMBER(C114)),NOT(ISNUMBER(G114)),AND(ISNUMBER(F114),ISNUMBER(G114),F114&gt;G114)),"5 - Missing info",IF(YEAR(TODAY())&gt;G114,"1 - URGENT (past peak)",IF(YEAR(TODAY())=G114,"2 - Drink this year",IF(OR(NOT(ISNUMBER(F114)),YEAR(TODAY())&gt;=F114),"3 - Ready to drink","4 - Hold (too young)"))))))</f>
        <v/>
      </c>
      <c r="I114" s="11" t="str">
        <f aca="true">IF(OR(A114="",NOT(ISNUMBER(G114)),AND(ISNUMBER(C114),C114&lt;=0)),"",G114-YEAR(TODAY()))</f>
        <v/>
      </c>
      <c r="J114" s="9"/>
      <c r="K114" s="8"/>
      <c r="L114" s="9"/>
    </row>
    <row r="115" customFormat="false" ht="21.75" hidden="false" customHeight="true" outlineLevel="0" collapsed="false">
      <c r="A115" s="5"/>
      <c r="B115" s="6"/>
      <c r="C115" s="7"/>
      <c r="D115" s="8"/>
      <c r="E115" s="9"/>
      <c r="F115" s="6"/>
      <c r="G115" s="6"/>
      <c r="H115" s="10" t="str">
        <f aca="true">IF(A115="","",IF(AND(ISNUMBER(C115),C115&lt;=0),"6 - Out of stock",IF(OR(NOT(ISNUMBER(C115)),NOT(ISNUMBER(G115)),AND(ISNUMBER(F115),ISNUMBER(G115),F115&gt;G115)),"5 - Missing info",IF(YEAR(TODAY())&gt;G115,"1 - URGENT (past peak)",IF(YEAR(TODAY())=G115,"2 - Drink this year",IF(OR(NOT(ISNUMBER(F115)),YEAR(TODAY())&gt;=F115),"3 - Ready to drink","4 - Hold (too young)"))))))</f>
        <v/>
      </c>
      <c r="I115" s="11" t="str">
        <f aca="true">IF(OR(A115="",NOT(ISNUMBER(G115)),AND(ISNUMBER(C115),C115&lt;=0)),"",G115-YEAR(TODAY()))</f>
        <v/>
      </c>
      <c r="J115" s="9"/>
      <c r="K115" s="8"/>
      <c r="L115" s="9"/>
    </row>
    <row r="116" customFormat="false" ht="21.75" hidden="false" customHeight="true" outlineLevel="0" collapsed="false">
      <c r="A116" s="5"/>
      <c r="B116" s="6"/>
      <c r="C116" s="7"/>
      <c r="D116" s="8"/>
      <c r="E116" s="9"/>
      <c r="F116" s="6"/>
      <c r="G116" s="6"/>
      <c r="H116" s="10" t="str">
        <f aca="true">IF(A116="","",IF(AND(ISNUMBER(C116),C116&lt;=0),"6 - Out of stock",IF(OR(NOT(ISNUMBER(C116)),NOT(ISNUMBER(G116)),AND(ISNUMBER(F116),ISNUMBER(G116),F116&gt;G116)),"5 - Missing info",IF(YEAR(TODAY())&gt;G116,"1 - URGENT (past peak)",IF(YEAR(TODAY())=G116,"2 - Drink this year",IF(OR(NOT(ISNUMBER(F116)),YEAR(TODAY())&gt;=F116),"3 - Ready to drink","4 - Hold (too young)"))))))</f>
        <v/>
      </c>
      <c r="I116" s="11" t="str">
        <f aca="true">IF(OR(A116="",NOT(ISNUMBER(G116)),AND(ISNUMBER(C116),C116&lt;=0)),"",G116-YEAR(TODAY()))</f>
        <v/>
      </c>
      <c r="J116" s="9"/>
      <c r="K116" s="8"/>
      <c r="L116" s="9"/>
    </row>
    <row r="117" customFormat="false" ht="21.75" hidden="false" customHeight="true" outlineLevel="0" collapsed="false">
      <c r="A117" s="5"/>
      <c r="B117" s="6"/>
      <c r="C117" s="7"/>
      <c r="D117" s="8"/>
      <c r="E117" s="9"/>
      <c r="F117" s="6"/>
      <c r="G117" s="6"/>
      <c r="H117" s="10" t="str">
        <f aca="true">IF(A117="","",IF(AND(ISNUMBER(C117),C117&lt;=0),"6 - Out of stock",IF(OR(NOT(ISNUMBER(C117)),NOT(ISNUMBER(G117)),AND(ISNUMBER(F117),ISNUMBER(G117),F117&gt;G117)),"5 - Missing info",IF(YEAR(TODAY())&gt;G117,"1 - URGENT (past peak)",IF(YEAR(TODAY())=G117,"2 - Drink this year",IF(OR(NOT(ISNUMBER(F117)),YEAR(TODAY())&gt;=F117),"3 - Ready to drink","4 - Hold (too young)"))))))</f>
        <v/>
      </c>
      <c r="I117" s="11" t="str">
        <f aca="true">IF(OR(A117="",NOT(ISNUMBER(G117)),AND(ISNUMBER(C117),C117&lt;=0)),"",G117-YEAR(TODAY()))</f>
        <v/>
      </c>
      <c r="J117" s="9"/>
      <c r="K117" s="8"/>
      <c r="L117" s="9"/>
    </row>
    <row r="118" customFormat="false" ht="21.75" hidden="false" customHeight="true" outlineLevel="0" collapsed="false">
      <c r="A118" s="5"/>
      <c r="B118" s="6"/>
      <c r="C118" s="7"/>
      <c r="D118" s="8"/>
      <c r="E118" s="9"/>
      <c r="F118" s="6"/>
      <c r="G118" s="6"/>
      <c r="H118" s="10" t="str">
        <f aca="true">IF(A118="","",IF(AND(ISNUMBER(C118),C118&lt;=0),"6 - Out of stock",IF(OR(NOT(ISNUMBER(C118)),NOT(ISNUMBER(G118)),AND(ISNUMBER(F118),ISNUMBER(G118),F118&gt;G118)),"5 - Missing info",IF(YEAR(TODAY())&gt;G118,"1 - URGENT (past peak)",IF(YEAR(TODAY())=G118,"2 - Drink this year",IF(OR(NOT(ISNUMBER(F118)),YEAR(TODAY())&gt;=F118),"3 - Ready to drink","4 - Hold (too young)"))))))</f>
        <v/>
      </c>
      <c r="I118" s="11" t="str">
        <f aca="true">IF(OR(A118="",NOT(ISNUMBER(G118)),AND(ISNUMBER(C118),C118&lt;=0)),"",G118-YEAR(TODAY()))</f>
        <v/>
      </c>
      <c r="J118" s="9"/>
      <c r="K118" s="8"/>
      <c r="L118" s="9"/>
    </row>
    <row r="119" customFormat="false" ht="21.75" hidden="false" customHeight="true" outlineLevel="0" collapsed="false">
      <c r="A119" s="5"/>
      <c r="B119" s="6"/>
      <c r="C119" s="7"/>
      <c r="D119" s="8"/>
      <c r="E119" s="9"/>
      <c r="F119" s="6"/>
      <c r="G119" s="6"/>
      <c r="H119" s="10" t="str">
        <f aca="true">IF(A119="","",IF(AND(ISNUMBER(C119),C119&lt;=0),"6 - Out of stock",IF(OR(NOT(ISNUMBER(C119)),NOT(ISNUMBER(G119)),AND(ISNUMBER(F119),ISNUMBER(G119),F119&gt;G119)),"5 - Missing info",IF(YEAR(TODAY())&gt;G119,"1 - URGENT (past peak)",IF(YEAR(TODAY())=G119,"2 - Drink this year",IF(OR(NOT(ISNUMBER(F119)),YEAR(TODAY())&gt;=F119),"3 - Ready to drink","4 - Hold (too young)"))))))</f>
        <v/>
      </c>
      <c r="I119" s="11" t="str">
        <f aca="true">IF(OR(A119="",NOT(ISNUMBER(G119)),AND(ISNUMBER(C119),C119&lt;=0)),"",G119-YEAR(TODAY()))</f>
        <v/>
      </c>
      <c r="J119" s="9"/>
      <c r="K119" s="8"/>
      <c r="L119" s="9"/>
    </row>
    <row r="120" customFormat="false" ht="21.75" hidden="false" customHeight="true" outlineLevel="0" collapsed="false">
      <c r="A120" s="5"/>
      <c r="B120" s="6"/>
      <c r="C120" s="7"/>
      <c r="D120" s="8"/>
      <c r="E120" s="9"/>
      <c r="F120" s="6"/>
      <c r="G120" s="6"/>
      <c r="H120" s="10" t="str">
        <f aca="true">IF(A120="","",IF(AND(ISNUMBER(C120),C120&lt;=0),"6 - Out of stock",IF(OR(NOT(ISNUMBER(C120)),NOT(ISNUMBER(G120)),AND(ISNUMBER(F120),ISNUMBER(G120),F120&gt;G120)),"5 - Missing info",IF(YEAR(TODAY())&gt;G120,"1 - URGENT (past peak)",IF(YEAR(TODAY())=G120,"2 - Drink this year",IF(OR(NOT(ISNUMBER(F120)),YEAR(TODAY())&gt;=F120),"3 - Ready to drink","4 - Hold (too young)"))))))</f>
        <v/>
      </c>
      <c r="I120" s="11" t="str">
        <f aca="true">IF(OR(A120="",NOT(ISNUMBER(G120)),AND(ISNUMBER(C120),C120&lt;=0)),"",G120-YEAR(TODAY()))</f>
        <v/>
      </c>
      <c r="J120" s="9"/>
      <c r="K120" s="8"/>
      <c r="L120" s="9"/>
    </row>
    <row r="121" customFormat="false" ht="21.75" hidden="false" customHeight="true" outlineLevel="0" collapsed="false">
      <c r="A121" s="5"/>
      <c r="B121" s="6"/>
      <c r="C121" s="7"/>
      <c r="D121" s="8"/>
      <c r="E121" s="9"/>
      <c r="F121" s="6"/>
      <c r="G121" s="6"/>
      <c r="H121" s="10" t="str">
        <f aca="true">IF(A121="","",IF(AND(ISNUMBER(C121),C121&lt;=0),"6 - Out of stock",IF(OR(NOT(ISNUMBER(C121)),NOT(ISNUMBER(G121)),AND(ISNUMBER(F121),ISNUMBER(G121),F121&gt;G121)),"5 - Missing info",IF(YEAR(TODAY())&gt;G121,"1 - URGENT (past peak)",IF(YEAR(TODAY())=G121,"2 - Drink this year",IF(OR(NOT(ISNUMBER(F121)),YEAR(TODAY())&gt;=F121),"3 - Ready to drink","4 - Hold (too young)"))))))</f>
        <v/>
      </c>
      <c r="I121" s="11" t="str">
        <f aca="true">IF(OR(A121="",NOT(ISNUMBER(G121)),AND(ISNUMBER(C121),C121&lt;=0)),"",G121-YEAR(TODAY()))</f>
        <v/>
      </c>
      <c r="J121" s="9"/>
      <c r="K121" s="8"/>
      <c r="L121" s="9"/>
    </row>
    <row r="122" customFormat="false" ht="21.75" hidden="false" customHeight="true" outlineLevel="0" collapsed="false">
      <c r="A122" s="5"/>
      <c r="B122" s="6"/>
      <c r="C122" s="7"/>
      <c r="D122" s="8"/>
      <c r="E122" s="9"/>
      <c r="F122" s="6"/>
      <c r="G122" s="6"/>
      <c r="H122" s="10" t="str">
        <f aca="true">IF(A122="","",IF(AND(ISNUMBER(C122),C122&lt;=0),"6 - Out of stock",IF(OR(NOT(ISNUMBER(C122)),NOT(ISNUMBER(G122)),AND(ISNUMBER(F122),ISNUMBER(G122),F122&gt;G122)),"5 - Missing info",IF(YEAR(TODAY())&gt;G122,"1 - URGENT (past peak)",IF(YEAR(TODAY())=G122,"2 - Drink this year",IF(OR(NOT(ISNUMBER(F122)),YEAR(TODAY())&gt;=F122),"3 - Ready to drink","4 - Hold (too young)"))))))</f>
        <v/>
      </c>
      <c r="I122" s="11" t="str">
        <f aca="true">IF(OR(A122="",NOT(ISNUMBER(G122)),AND(ISNUMBER(C122),C122&lt;=0)),"",G122-YEAR(TODAY()))</f>
        <v/>
      </c>
      <c r="J122" s="9"/>
      <c r="K122" s="8"/>
      <c r="L122" s="9"/>
    </row>
    <row r="123" customFormat="false" ht="21.75" hidden="false" customHeight="true" outlineLevel="0" collapsed="false">
      <c r="A123" s="5"/>
      <c r="B123" s="6"/>
      <c r="C123" s="7"/>
      <c r="D123" s="8"/>
      <c r="E123" s="9"/>
      <c r="F123" s="6"/>
      <c r="G123" s="6"/>
      <c r="H123" s="10" t="str">
        <f aca="true">IF(A123="","",IF(AND(ISNUMBER(C123),C123&lt;=0),"6 - Out of stock",IF(OR(NOT(ISNUMBER(C123)),NOT(ISNUMBER(G123)),AND(ISNUMBER(F123),ISNUMBER(G123),F123&gt;G123)),"5 - Missing info",IF(YEAR(TODAY())&gt;G123,"1 - URGENT (past peak)",IF(YEAR(TODAY())=G123,"2 - Drink this year",IF(OR(NOT(ISNUMBER(F123)),YEAR(TODAY())&gt;=F123),"3 - Ready to drink","4 - Hold (too young)"))))))</f>
        <v/>
      </c>
      <c r="I123" s="11" t="str">
        <f aca="true">IF(OR(A123="",NOT(ISNUMBER(G123)),AND(ISNUMBER(C123),C123&lt;=0)),"",G123-YEAR(TODAY()))</f>
        <v/>
      </c>
      <c r="J123" s="9"/>
      <c r="K123" s="8"/>
      <c r="L123" s="9"/>
    </row>
    <row r="124" customFormat="false" ht="21.75" hidden="false" customHeight="true" outlineLevel="0" collapsed="false">
      <c r="A124" s="5"/>
      <c r="B124" s="6"/>
      <c r="C124" s="7"/>
      <c r="D124" s="8"/>
      <c r="E124" s="9"/>
      <c r="F124" s="6"/>
      <c r="G124" s="6"/>
      <c r="H124" s="10" t="str">
        <f aca="true">IF(A124="","",IF(AND(ISNUMBER(C124),C124&lt;=0),"6 - Out of stock",IF(OR(NOT(ISNUMBER(C124)),NOT(ISNUMBER(G124)),AND(ISNUMBER(F124),ISNUMBER(G124),F124&gt;G124)),"5 - Missing info",IF(YEAR(TODAY())&gt;G124,"1 - URGENT (past peak)",IF(YEAR(TODAY())=G124,"2 - Drink this year",IF(OR(NOT(ISNUMBER(F124)),YEAR(TODAY())&gt;=F124),"3 - Ready to drink","4 - Hold (too young)"))))))</f>
        <v/>
      </c>
      <c r="I124" s="11" t="str">
        <f aca="true">IF(OR(A124="",NOT(ISNUMBER(G124)),AND(ISNUMBER(C124),C124&lt;=0)),"",G124-YEAR(TODAY()))</f>
        <v/>
      </c>
      <c r="J124" s="9"/>
      <c r="K124" s="8"/>
      <c r="L124" s="9"/>
    </row>
    <row r="125" customFormat="false" ht="21.75" hidden="false" customHeight="true" outlineLevel="0" collapsed="false">
      <c r="A125" s="5"/>
      <c r="B125" s="6"/>
      <c r="C125" s="7"/>
      <c r="D125" s="8"/>
      <c r="E125" s="9"/>
      <c r="F125" s="6"/>
      <c r="G125" s="6"/>
      <c r="H125" s="10" t="str">
        <f aca="true">IF(A125="","",IF(AND(ISNUMBER(C125),C125&lt;=0),"6 - Out of stock",IF(OR(NOT(ISNUMBER(C125)),NOT(ISNUMBER(G125)),AND(ISNUMBER(F125),ISNUMBER(G125),F125&gt;G125)),"5 - Missing info",IF(YEAR(TODAY())&gt;G125,"1 - URGENT (past peak)",IF(YEAR(TODAY())=G125,"2 - Drink this year",IF(OR(NOT(ISNUMBER(F125)),YEAR(TODAY())&gt;=F125),"3 - Ready to drink","4 - Hold (too young)"))))))</f>
        <v/>
      </c>
      <c r="I125" s="11" t="str">
        <f aca="true">IF(OR(A125="",NOT(ISNUMBER(G125)),AND(ISNUMBER(C125),C125&lt;=0)),"",G125-YEAR(TODAY()))</f>
        <v/>
      </c>
      <c r="J125" s="9"/>
      <c r="K125" s="8"/>
      <c r="L125" s="9"/>
    </row>
    <row r="126" customFormat="false" ht="21.75" hidden="false" customHeight="true" outlineLevel="0" collapsed="false">
      <c r="A126" s="5"/>
      <c r="B126" s="6"/>
      <c r="C126" s="7"/>
      <c r="D126" s="8"/>
      <c r="E126" s="9"/>
      <c r="F126" s="6"/>
      <c r="G126" s="6"/>
      <c r="H126" s="10" t="str">
        <f aca="true">IF(A126="","",IF(AND(ISNUMBER(C126),C126&lt;=0),"6 - Out of stock",IF(OR(NOT(ISNUMBER(C126)),NOT(ISNUMBER(G126)),AND(ISNUMBER(F126),ISNUMBER(G126),F126&gt;G126)),"5 - Missing info",IF(YEAR(TODAY())&gt;G126,"1 - URGENT (past peak)",IF(YEAR(TODAY())=G126,"2 - Drink this year",IF(OR(NOT(ISNUMBER(F126)),YEAR(TODAY())&gt;=F126),"3 - Ready to drink","4 - Hold (too young)"))))))</f>
        <v/>
      </c>
      <c r="I126" s="11" t="str">
        <f aca="true">IF(OR(A126="",NOT(ISNUMBER(G126)),AND(ISNUMBER(C126),C126&lt;=0)),"",G126-YEAR(TODAY()))</f>
        <v/>
      </c>
      <c r="J126" s="9"/>
      <c r="K126" s="8"/>
      <c r="L126" s="9"/>
    </row>
    <row r="127" customFormat="false" ht="21.75" hidden="false" customHeight="true" outlineLevel="0" collapsed="false">
      <c r="A127" s="5"/>
      <c r="B127" s="6"/>
      <c r="C127" s="7"/>
      <c r="D127" s="8"/>
      <c r="E127" s="9"/>
      <c r="F127" s="6"/>
      <c r="G127" s="6"/>
      <c r="H127" s="10" t="str">
        <f aca="true">IF(A127="","",IF(AND(ISNUMBER(C127),C127&lt;=0),"6 - Out of stock",IF(OR(NOT(ISNUMBER(C127)),NOT(ISNUMBER(G127)),AND(ISNUMBER(F127),ISNUMBER(G127),F127&gt;G127)),"5 - Missing info",IF(YEAR(TODAY())&gt;G127,"1 - URGENT (past peak)",IF(YEAR(TODAY())=G127,"2 - Drink this year",IF(OR(NOT(ISNUMBER(F127)),YEAR(TODAY())&gt;=F127),"3 - Ready to drink","4 - Hold (too young)"))))))</f>
        <v/>
      </c>
      <c r="I127" s="11" t="str">
        <f aca="true">IF(OR(A127="",NOT(ISNUMBER(G127)),AND(ISNUMBER(C127),C127&lt;=0)),"",G127-YEAR(TODAY()))</f>
        <v/>
      </c>
      <c r="J127" s="9"/>
      <c r="K127" s="8"/>
      <c r="L127" s="9"/>
    </row>
    <row r="128" customFormat="false" ht="21.75" hidden="false" customHeight="true" outlineLevel="0" collapsed="false">
      <c r="A128" s="5"/>
      <c r="B128" s="6"/>
      <c r="C128" s="7"/>
      <c r="D128" s="8"/>
      <c r="E128" s="9"/>
      <c r="F128" s="6"/>
      <c r="G128" s="6"/>
      <c r="H128" s="10" t="str">
        <f aca="true">IF(A128="","",IF(AND(ISNUMBER(C128),C128&lt;=0),"6 - Out of stock",IF(OR(NOT(ISNUMBER(C128)),NOT(ISNUMBER(G128)),AND(ISNUMBER(F128),ISNUMBER(G128),F128&gt;G128)),"5 - Missing info",IF(YEAR(TODAY())&gt;G128,"1 - URGENT (past peak)",IF(YEAR(TODAY())=G128,"2 - Drink this year",IF(OR(NOT(ISNUMBER(F128)),YEAR(TODAY())&gt;=F128),"3 - Ready to drink","4 - Hold (too young)"))))))</f>
        <v/>
      </c>
      <c r="I128" s="11" t="str">
        <f aca="true">IF(OR(A128="",NOT(ISNUMBER(G128)),AND(ISNUMBER(C128),C128&lt;=0)),"",G128-YEAR(TODAY()))</f>
        <v/>
      </c>
      <c r="J128" s="9"/>
      <c r="K128" s="8"/>
      <c r="L128" s="9"/>
    </row>
    <row r="129" customFormat="false" ht="21.75" hidden="false" customHeight="true" outlineLevel="0" collapsed="false">
      <c r="A129" s="5"/>
      <c r="B129" s="6"/>
      <c r="C129" s="7"/>
      <c r="D129" s="8"/>
      <c r="E129" s="9"/>
      <c r="F129" s="6"/>
      <c r="G129" s="6"/>
      <c r="H129" s="10" t="str">
        <f aca="true">IF(A129="","",IF(AND(ISNUMBER(C129),C129&lt;=0),"6 - Out of stock",IF(OR(NOT(ISNUMBER(C129)),NOT(ISNUMBER(G129)),AND(ISNUMBER(F129),ISNUMBER(G129),F129&gt;G129)),"5 - Missing info",IF(YEAR(TODAY())&gt;G129,"1 - URGENT (past peak)",IF(YEAR(TODAY())=G129,"2 - Drink this year",IF(OR(NOT(ISNUMBER(F129)),YEAR(TODAY())&gt;=F129),"3 - Ready to drink","4 - Hold (too young)"))))))</f>
        <v/>
      </c>
      <c r="I129" s="11" t="str">
        <f aca="true">IF(OR(A129="",NOT(ISNUMBER(G129)),AND(ISNUMBER(C129),C129&lt;=0)),"",G129-YEAR(TODAY()))</f>
        <v/>
      </c>
      <c r="J129" s="9"/>
      <c r="K129" s="8"/>
      <c r="L129" s="9"/>
    </row>
    <row r="130" customFormat="false" ht="21.75" hidden="false" customHeight="true" outlineLevel="0" collapsed="false">
      <c r="A130" s="5"/>
      <c r="B130" s="6"/>
      <c r="C130" s="7"/>
      <c r="D130" s="8"/>
      <c r="E130" s="9"/>
      <c r="F130" s="6"/>
      <c r="G130" s="6"/>
      <c r="H130" s="10" t="str">
        <f aca="true">IF(A130="","",IF(AND(ISNUMBER(C130),C130&lt;=0),"6 - Out of stock",IF(OR(NOT(ISNUMBER(C130)),NOT(ISNUMBER(G130)),AND(ISNUMBER(F130),ISNUMBER(G130),F130&gt;G130)),"5 - Missing info",IF(YEAR(TODAY())&gt;G130,"1 - URGENT (past peak)",IF(YEAR(TODAY())=G130,"2 - Drink this year",IF(OR(NOT(ISNUMBER(F130)),YEAR(TODAY())&gt;=F130),"3 - Ready to drink","4 - Hold (too young)"))))))</f>
        <v/>
      </c>
      <c r="I130" s="11" t="str">
        <f aca="true">IF(OR(A130="",NOT(ISNUMBER(G130)),AND(ISNUMBER(C130),C130&lt;=0)),"",G130-YEAR(TODAY()))</f>
        <v/>
      </c>
      <c r="J130" s="9"/>
      <c r="K130" s="8"/>
      <c r="L130" s="9"/>
    </row>
    <row r="131" customFormat="false" ht="21.75" hidden="false" customHeight="true" outlineLevel="0" collapsed="false">
      <c r="A131" s="5"/>
      <c r="B131" s="6"/>
      <c r="C131" s="7"/>
      <c r="D131" s="8"/>
      <c r="E131" s="9"/>
      <c r="F131" s="6"/>
      <c r="G131" s="6"/>
      <c r="H131" s="10" t="str">
        <f aca="true">IF(A131="","",IF(AND(ISNUMBER(C131),C131&lt;=0),"6 - Out of stock",IF(OR(NOT(ISNUMBER(C131)),NOT(ISNUMBER(G131)),AND(ISNUMBER(F131),ISNUMBER(G131),F131&gt;G131)),"5 - Missing info",IF(YEAR(TODAY())&gt;G131,"1 - URGENT (past peak)",IF(YEAR(TODAY())=G131,"2 - Drink this year",IF(OR(NOT(ISNUMBER(F131)),YEAR(TODAY())&gt;=F131),"3 - Ready to drink","4 - Hold (too young)"))))))</f>
        <v/>
      </c>
      <c r="I131" s="11" t="str">
        <f aca="true">IF(OR(A131="",NOT(ISNUMBER(G131)),AND(ISNUMBER(C131),C131&lt;=0)),"",G131-YEAR(TODAY()))</f>
        <v/>
      </c>
      <c r="J131" s="9"/>
      <c r="K131" s="8"/>
      <c r="L131" s="9"/>
    </row>
    <row r="132" customFormat="false" ht="21.75" hidden="false" customHeight="true" outlineLevel="0" collapsed="false">
      <c r="A132" s="5"/>
      <c r="B132" s="6"/>
      <c r="C132" s="7"/>
      <c r="D132" s="8"/>
      <c r="E132" s="9"/>
      <c r="F132" s="6"/>
      <c r="G132" s="6"/>
      <c r="H132" s="10" t="str">
        <f aca="true">IF(A132="","",IF(AND(ISNUMBER(C132),C132&lt;=0),"6 - Out of stock",IF(OR(NOT(ISNUMBER(C132)),NOT(ISNUMBER(G132)),AND(ISNUMBER(F132),ISNUMBER(G132),F132&gt;G132)),"5 - Missing info",IF(YEAR(TODAY())&gt;G132,"1 - URGENT (past peak)",IF(YEAR(TODAY())=G132,"2 - Drink this year",IF(OR(NOT(ISNUMBER(F132)),YEAR(TODAY())&gt;=F132),"3 - Ready to drink","4 - Hold (too young)"))))))</f>
        <v/>
      </c>
      <c r="I132" s="11" t="str">
        <f aca="true">IF(OR(A132="",NOT(ISNUMBER(G132)),AND(ISNUMBER(C132),C132&lt;=0)),"",G132-YEAR(TODAY()))</f>
        <v/>
      </c>
      <c r="J132" s="9"/>
      <c r="K132" s="8"/>
      <c r="L132" s="9"/>
    </row>
    <row r="133" customFormat="false" ht="21.75" hidden="false" customHeight="true" outlineLevel="0" collapsed="false">
      <c r="A133" s="5"/>
      <c r="B133" s="6"/>
      <c r="C133" s="7"/>
      <c r="D133" s="8"/>
      <c r="E133" s="9"/>
      <c r="F133" s="6"/>
      <c r="G133" s="6"/>
      <c r="H133" s="10" t="str">
        <f aca="true">IF(A133="","",IF(AND(ISNUMBER(C133),C133&lt;=0),"6 - Out of stock",IF(OR(NOT(ISNUMBER(C133)),NOT(ISNUMBER(G133)),AND(ISNUMBER(F133),ISNUMBER(G133),F133&gt;G133)),"5 - Missing info",IF(YEAR(TODAY())&gt;G133,"1 - URGENT (past peak)",IF(YEAR(TODAY())=G133,"2 - Drink this year",IF(OR(NOT(ISNUMBER(F133)),YEAR(TODAY())&gt;=F133),"3 - Ready to drink","4 - Hold (too young)"))))))</f>
        <v/>
      </c>
      <c r="I133" s="11" t="str">
        <f aca="true">IF(OR(A133="",NOT(ISNUMBER(G133)),AND(ISNUMBER(C133),C133&lt;=0)),"",G133-YEAR(TODAY()))</f>
        <v/>
      </c>
      <c r="J133" s="9"/>
      <c r="K133" s="8"/>
      <c r="L133" s="9"/>
    </row>
    <row r="134" customFormat="false" ht="21.75" hidden="false" customHeight="true" outlineLevel="0" collapsed="false">
      <c r="A134" s="5"/>
      <c r="B134" s="6"/>
      <c r="C134" s="7"/>
      <c r="D134" s="8"/>
      <c r="E134" s="9"/>
      <c r="F134" s="6"/>
      <c r="G134" s="6"/>
      <c r="H134" s="10" t="str">
        <f aca="true">IF(A134="","",IF(AND(ISNUMBER(C134),C134&lt;=0),"6 - Out of stock",IF(OR(NOT(ISNUMBER(C134)),NOT(ISNUMBER(G134)),AND(ISNUMBER(F134),ISNUMBER(G134),F134&gt;G134)),"5 - Missing info",IF(YEAR(TODAY())&gt;G134,"1 - URGENT (past peak)",IF(YEAR(TODAY())=G134,"2 - Drink this year",IF(OR(NOT(ISNUMBER(F134)),YEAR(TODAY())&gt;=F134),"3 - Ready to drink","4 - Hold (too young)"))))))</f>
        <v/>
      </c>
      <c r="I134" s="11" t="str">
        <f aca="true">IF(OR(A134="",NOT(ISNUMBER(G134)),AND(ISNUMBER(C134),C134&lt;=0)),"",G134-YEAR(TODAY()))</f>
        <v/>
      </c>
      <c r="J134" s="9"/>
      <c r="K134" s="8"/>
      <c r="L134" s="9"/>
    </row>
    <row r="135" customFormat="false" ht="21.75" hidden="false" customHeight="true" outlineLevel="0" collapsed="false">
      <c r="A135" s="5"/>
      <c r="B135" s="6"/>
      <c r="C135" s="7"/>
      <c r="D135" s="8"/>
      <c r="E135" s="9"/>
      <c r="F135" s="6"/>
      <c r="G135" s="6"/>
      <c r="H135" s="10" t="str">
        <f aca="true">IF(A135="","",IF(AND(ISNUMBER(C135),C135&lt;=0),"6 - Out of stock",IF(OR(NOT(ISNUMBER(C135)),NOT(ISNUMBER(G135)),AND(ISNUMBER(F135),ISNUMBER(G135),F135&gt;G135)),"5 - Missing info",IF(YEAR(TODAY())&gt;G135,"1 - URGENT (past peak)",IF(YEAR(TODAY())=G135,"2 - Drink this year",IF(OR(NOT(ISNUMBER(F135)),YEAR(TODAY())&gt;=F135),"3 - Ready to drink","4 - Hold (too young)"))))))</f>
        <v/>
      </c>
      <c r="I135" s="11" t="str">
        <f aca="true">IF(OR(A135="",NOT(ISNUMBER(G135)),AND(ISNUMBER(C135),C135&lt;=0)),"",G135-YEAR(TODAY()))</f>
        <v/>
      </c>
      <c r="J135" s="9"/>
      <c r="K135" s="8"/>
      <c r="L135" s="9"/>
    </row>
    <row r="136" customFormat="false" ht="21.75" hidden="false" customHeight="true" outlineLevel="0" collapsed="false">
      <c r="A136" s="5"/>
      <c r="B136" s="6"/>
      <c r="C136" s="7"/>
      <c r="D136" s="8"/>
      <c r="E136" s="9"/>
      <c r="F136" s="6"/>
      <c r="G136" s="6"/>
      <c r="H136" s="10" t="str">
        <f aca="true">IF(A136="","",IF(AND(ISNUMBER(C136),C136&lt;=0),"6 - Out of stock",IF(OR(NOT(ISNUMBER(C136)),NOT(ISNUMBER(G136)),AND(ISNUMBER(F136),ISNUMBER(G136),F136&gt;G136)),"5 - Missing info",IF(YEAR(TODAY())&gt;G136,"1 - URGENT (past peak)",IF(YEAR(TODAY())=G136,"2 - Drink this year",IF(OR(NOT(ISNUMBER(F136)),YEAR(TODAY())&gt;=F136),"3 - Ready to drink","4 - Hold (too young)"))))))</f>
        <v/>
      </c>
      <c r="I136" s="11" t="str">
        <f aca="true">IF(OR(A136="",NOT(ISNUMBER(G136)),AND(ISNUMBER(C136),C136&lt;=0)),"",G136-YEAR(TODAY()))</f>
        <v/>
      </c>
      <c r="J136" s="9"/>
      <c r="K136" s="8"/>
      <c r="L136" s="9"/>
    </row>
    <row r="137" customFormat="false" ht="21.75" hidden="false" customHeight="true" outlineLevel="0" collapsed="false">
      <c r="A137" s="5"/>
      <c r="B137" s="6"/>
      <c r="C137" s="7"/>
      <c r="D137" s="8"/>
      <c r="E137" s="9"/>
      <c r="F137" s="6"/>
      <c r="G137" s="6"/>
      <c r="H137" s="10" t="str">
        <f aca="true">IF(A137="","",IF(AND(ISNUMBER(C137),C137&lt;=0),"6 - Out of stock",IF(OR(NOT(ISNUMBER(C137)),NOT(ISNUMBER(G137)),AND(ISNUMBER(F137),ISNUMBER(G137),F137&gt;G137)),"5 - Missing info",IF(YEAR(TODAY())&gt;G137,"1 - URGENT (past peak)",IF(YEAR(TODAY())=G137,"2 - Drink this year",IF(OR(NOT(ISNUMBER(F137)),YEAR(TODAY())&gt;=F137),"3 - Ready to drink","4 - Hold (too young)"))))))</f>
        <v/>
      </c>
      <c r="I137" s="11" t="str">
        <f aca="true">IF(OR(A137="",NOT(ISNUMBER(G137)),AND(ISNUMBER(C137),C137&lt;=0)),"",G137-YEAR(TODAY()))</f>
        <v/>
      </c>
      <c r="J137" s="9"/>
      <c r="K137" s="8"/>
      <c r="L137" s="9"/>
    </row>
    <row r="138" customFormat="false" ht="21.75" hidden="false" customHeight="true" outlineLevel="0" collapsed="false">
      <c r="A138" s="5"/>
      <c r="B138" s="6"/>
      <c r="C138" s="7"/>
      <c r="D138" s="8"/>
      <c r="E138" s="9"/>
      <c r="F138" s="6"/>
      <c r="G138" s="6"/>
      <c r="H138" s="10" t="str">
        <f aca="true">IF(A138="","",IF(AND(ISNUMBER(C138),C138&lt;=0),"6 - Out of stock",IF(OR(NOT(ISNUMBER(C138)),NOT(ISNUMBER(G138)),AND(ISNUMBER(F138),ISNUMBER(G138),F138&gt;G138)),"5 - Missing info",IF(YEAR(TODAY())&gt;G138,"1 - URGENT (past peak)",IF(YEAR(TODAY())=G138,"2 - Drink this year",IF(OR(NOT(ISNUMBER(F138)),YEAR(TODAY())&gt;=F138),"3 - Ready to drink","4 - Hold (too young)"))))))</f>
        <v/>
      </c>
      <c r="I138" s="11" t="str">
        <f aca="true">IF(OR(A138="",NOT(ISNUMBER(G138)),AND(ISNUMBER(C138),C138&lt;=0)),"",G138-YEAR(TODAY()))</f>
        <v/>
      </c>
      <c r="J138" s="9"/>
      <c r="K138" s="8"/>
      <c r="L138" s="9"/>
    </row>
    <row r="139" customFormat="false" ht="21.75" hidden="false" customHeight="true" outlineLevel="0" collapsed="false">
      <c r="A139" s="5"/>
      <c r="B139" s="6"/>
      <c r="C139" s="7"/>
      <c r="D139" s="8"/>
      <c r="E139" s="9"/>
      <c r="F139" s="6"/>
      <c r="G139" s="6"/>
      <c r="H139" s="10" t="str">
        <f aca="true">IF(A139="","",IF(AND(ISNUMBER(C139),C139&lt;=0),"6 - Out of stock",IF(OR(NOT(ISNUMBER(C139)),NOT(ISNUMBER(G139)),AND(ISNUMBER(F139),ISNUMBER(G139),F139&gt;G139)),"5 - Missing info",IF(YEAR(TODAY())&gt;G139,"1 - URGENT (past peak)",IF(YEAR(TODAY())=G139,"2 - Drink this year",IF(OR(NOT(ISNUMBER(F139)),YEAR(TODAY())&gt;=F139),"3 - Ready to drink","4 - Hold (too young)"))))))</f>
        <v/>
      </c>
      <c r="I139" s="11" t="str">
        <f aca="true">IF(OR(A139="",NOT(ISNUMBER(G139)),AND(ISNUMBER(C139),C139&lt;=0)),"",G139-YEAR(TODAY()))</f>
        <v/>
      </c>
      <c r="J139" s="9"/>
      <c r="K139" s="8"/>
      <c r="L139" s="9"/>
    </row>
    <row r="140" customFormat="false" ht="21.75" hidden="false" customHeight="true" outlineLevel="0" collapsed="false">
      <c r="A140" s="5"/>
      <c r="B140" s="6"/>
      <c r="C140" s="7"/>
      <c r="D140" s="8"/>
      <c r="E140" s="9"/>
      <c r="F140" s="6"/>
      <c r="G140" s="6"/>
      <c r="H140" s="10" t="str">
        <f aca="true">IF(A140="","",IF(AND(ISNUMBER(C140),C140&lt;=0),"6 - Out of stock",IF(OR(NOT(ISNUMBER(C140)),NOT(ISNUMBER(G140)),AND(ISNUMBER(F140),ISNUMBER(G140),F140&gt;G140)),"5 - Missing info",IF(YEAR(TODAY())&gt;G140,"1 - URGENT (past peak)",IF(YEAR(TODAY())=G140,"2 - Drink this year",IF(OR(NOT(ISNUMBER(F140)),YEAR(TODAY())&gt;=F140),"3 - Ready to drink","4 - Hold (too young)"))))))</f>
        <v/>
      </c>
      <c r="I140" s="11" t="str">
        <f aca="true">IF(OR(A140="",NOT(ISNUMBER(G140)),AND(ISNUMBER(C140),C140&lt;=0)),"",G140-YEAR(TODAY()))</f>
        <v/>
      </c>
      <c r="J140" s="9"/>
      <c r="K140" s="8"/>
      <c r="L140" s="9"/>
    </row>
    <row r="141" customFormat="false" ht="21.75" hidden="false" customHeight="true" outlineLevel="0" collapsed="false">
      <c r="A141" s="5"/>
      <c r="B141" s="6"/>
      <c r="C141" s="7"/>
      <c r="D141" s="8"/>
      <c r="E141" s="9"/>
      <c r="F141" s="6"/>
      <c r="G141" s="6"/>
      <c r="H141" s="10" t="str">
        <f aca="true">IF(A141="","",IF(AND(ISNUMBER(C141),C141&lt;=0),"6 - Out of stock",IF(OR(NOT(ISNUMBER(C141)),NOT(ISNUMBER(G141)),AND(ISNUMBER(F141),ISNUMBER(G141),F141&gt;G141)),"5 - Missing info",IF(YEAR(TODAY())&gt;G141,"1 - URGENT (past peak)",IF(YEAR(TODAY())=G141,"2 - Drink this year",IF(OR(NOT(ISNUMBER(F141)),YEAR(TODAY())&gt;=F141),"3 - Ready to drink","4 - Hold (too young)"))))))</f>
        <v/>
      </c>
      <c r="I141" s="11" t="str">
        <f aca="true">IF(OR(A141="",NOT(ISNUMBER(G141)),AND(ISNUMBER(C141),C141&lt;=0)),"",G141-YEAR(TODAY()))</f>
        <v/>
      </c>
      <c r="J141" s="9"/>
      <c r="K141" s="8"/>
      <c r="L141" s="9"/>
    </row>
    <row r="142" customFormat="false" ht="21.75" hidden="false" customHeight="true" outlineLevel="0" collapsed="false">
      <c r="A142" s="5"/>
      <c r="B142" s="6"/>
      <c r="C142" s="7"/>
      <c r="D142" s="8"/>
      <c r="E142" s="9"/>
      <c r="F142" s="6"/>
      <c r="G142" s="6"/>
      <c r="H142" s="10" t="str">
        <f aca="true">IF(A142="","",IF(AND(ISNUMBER(C142),C142&lt;=0),"6 - Out of stock",IF(OR(NOT(ISNUMBER(C142)),NOT(ISNUMBER(G142)),AND(ISNUMBER(F142),ISNUMBER(G142),F142&gt;G142)),"5 - Missing info",IF(YEAR(TODAY())&gt;G142,"1 - URGENT (past peak)",IF(YEAR(TODAY())=G142,"2 - Drink this year",IF(OR(NOT(ISNUMBER(F142)),YEAR(TODAY())&gt;=F142),"3 - Ready to drink","4 - Hold (too young)"))))))</f>
        <v/>
      </c>
      <c r="I142" s="11" t="str">
        <f aca="true">IF(OR(A142="",NOT(ISNUMBER(G142)),AND(ISNUMBER(C142),C142&lt;=0)),"",G142-YEAR(TODAY()))</f>
        <v/>
      </c>
      <c r="J142" s="9"/>
      <c r="K142" s="8"/>
      <c r="L142" s="9"/>
    </row>
    <row r="143" customFormat="false" ht="21.75" hidden="false" customHeight="true" outlineLevel="0" collapsed="false">
      <c r="A143" s="5"/>
      <c r="B143" s="6"/>
      <c r="C143" s="7"/>
      <c r="D143" s="8"/>
      <c r="E143" s="9"/>
      <c r="F143" s="6"/>
      <c r="G143" s="6"/>
      <c r="H143" s="10" t="str">
        <f aca="true">IF(A143="","",IF(AND(ISNUMBER(C143),C143&lt;=0),"6 - Out of stock",IF(OR(NOT(ISNUMBER(C143)),NOT(ISNUMBER(G143)),AND(ISNUMBER(F143),ISNUMBER(G143),F143&gt;G143)),"5 - Missing info",IF(YEAR(TODAY())&gt;G143,"1 - URGENT (past peak)",IF(YEAR(TODAY())=G143,"2 - Drink this year",IF(OR(NOT(ISNUMBER(F143)),YEAR(TODAY())&gt;=F143),"3 - Ready to drink","4 - Hold (too young)"))))))</f>
        <v/>
      </c>
      <c r="I143" s="11" t="str">
        <f aca="true">IF(OR(A143="",NOT(ISNUMBER(G143)),AND(ISNUMBER(C143),C143&lt;=0)),"",G143-YEAR(TODAY()))</f>
        <v/>
      </c>
      <c r="J143" s="9"/>
      <c r="K143" s="8"/>
      <c r="L143" s="9"/>
    </row>
    <row r="144" customFormat="false" ht="21.75" hidden="false" customHeight="true" outlineLevel="0" collapsed="false">
      <c r="A144" s="5"/>
      <c r="B144" s="6"/>
      <c r="C144" s="7"/>
      <c r="D144" s="8"/>
      <c r="E144" s="9"/>
      <c r="F144" s="6"/>
      <c r="G144" s="6"/>
      <c r="H144" s="10" t="str">
        <f aca="true">IF(A144="","",IF(AND(ISNUMBER(C144),C144&lt;=0),"6 - Out of stock",IF(OR(NOT(ISNUMBER(C144)),NOT(ISNUMBER(G144)),AND(ISNUMBER(F144),ISNUMBER(G144),F144&gt;G144)),"5 - Missing info",IF(YEAR(TODAY())&gt;G144,"1 - URGENT (past peak)",IF(YEAR(TODAY())=G144,"2 - Drink this year",IF(OR(NOT(ISNUMBER(F144)),YEAR(TODAY())&gt;=F144),"3 - Ready to drink","4 - Hold (too young)"))))))</f>
        <v/>
      </c>
      <c r="I144" s="11" t="str">
        <f aca="true">IF(OR(A144="",NOT(ISNUMBER(G144)),AND(ISNUMBER(C144),C144&lt;=0)),"",G144-YEAR(TODAY()))</f>
        <v/>
      </c>
      <c r="J144" s="9"/>
      <c r="K144" s="8"/>
      <c r="L144" s="9"/>
    </row>
    <row r="145" customFormat="false" ht="21.75" hidden="false" customHeight="true" outlineLevel="0" collapsed="false">
      <c r="A145" s="5"/>
      <c r="B145" s="6"/>
      <c r="C145" s="7"/>
      <c r="D145" s="8"/>
      <c r="E145" s="9"/>
      <c r="F145" s="6"/>
      <c r="G145" s="6"/>
      <c r="H145" s="10" t="str">
        <f aca="true">IF(A145="","",IF(AND(ISNUMBER(C145),C145&lt;=0),"6 - Out of stock",IF(OR(NOT(ISNUMBER(C145)),NOT(ISNUMBER(G145)),AND(ISNUMBER(F145),ISNUMBER(G145),F145&gt;G145)),"5 - Missing info",IF(YEAR(TODAY())&gt;G145,"1 - URGENT (past peak)",IF(YEAR(TODAY())=G145,"2 - Drink this year",IF(OR(NOT(ISNUMBER(F145)),YEAR(TODAY())&gt;=F145),"3 - Ready to drink","4 - Hold (too young)"))))))</f>
        <v/>
      </c>
      <c r="I145" s="11" t="str">
        <f aca="true">IF(OR(A145="",NOT(ISNUMBER(G145)),AND(ISNUMBER(C145),C145&lt;=0)),"",G145-YEAR(TODAY()))</f>
        <v/>
      </c>
      <c r="J145" s="9"/>
      <c r="K145" s="8"/>
      <c r="L145" s="9"/>
    </row>
    <row r="146" customFormat="false" ht="21.75" hidden="false" customHeight="true" outlineLevel="0" collapsed="false">
      <c r="A146" s="5"/>
      <c r="B146" s="6"/>
      <c r="C146" s="7"/>
      <c r="D146" s="8"/>
      <c r="E146" s="9"/>
      <c r="F146" s="6"/>
      <c r="G146" s="6"/>
      <c r="H146" s="10" t="str">
        <f aca="true">IF(A146="","",IF(AND(ISNUMBER(C146),C146&lt;=0),"6 - Out of stock",IF(OR(NOT(ISNUMBER(C146)),NOT(ISNUMBER(G146)),AND(ISNUMBER(F146),ISNUMBER(G146),F146&gt;G146)),"5 - Missing info",IF(YEAR(TODAY())&gt;G146,"1 - URGENT (past peak)",IF(YEAR(TODAY())=G146,"2 - Drink this year",IF(OR(NOT(ISNUMBER(F146)),YEAR(TODAY())&gt;=F146),"3 - Ready to drink","4 - Hold (too young)"))))))</f>
        <v/>
      </c>
      <c r="I146" s="11" t="str">
        <f aca="true">IF(OR(A146="",NOT(ISNUMBER(G146)),AND(ISNUMBER(C146),C146&lt;=0)),"",G146-YEAR(TODAY()))</f>
        <v/>
      </c>
      <c r="J146" s="9"/>
      <c r="K146" s="8"/>
      <c r="L146" s="9"/>
    </row>
    <row r="147" customFormat="false" ht="21.75" hidden="false" customHeight="true" outlineLevel="0" collapsed="false">
      <c r="A147" s="5"/>
      <c r="B147" s="6"/>
      <c r="C147" s="7"/>
      <c r="D147" s="8"/>
      <c r="E147" s="9"/>
      <c r="F147" s="6"/>
      <c r="G147" s="6"/>
      <c r="H147" s="10" t="str">
        <f aca="true">IF(A147="","",IF(AND(ISNUMBER(C147),C147&lt;=0),"6 - Out of stock",IF(OR(NOT(ISNUMBER(C147)),NOT(ISNUMBER(G147)),AND(ISNUMBER(F147),ISNUMBER(G147),F147&gt;G147)),"5 - Missing info",IF(YEAR(TODAY())&gt;G147,"1 - URGENT (past peak)",IF(YEAR(TODAY())=G147,"2 - Drink this year",IF(OR(NOT(ISNUMBER(F147)),YEAR(TODAY())&gt;=F147),"3 - Ready to drink","4 - Hold (too young)"))))))</f>
        <v/>
      </c>
      <c r="I147" s="11" t="str">
        <f aca="true">IF(OR(A147="",NOT(ISNUMBER(G147)),AND(ISNUMBER(C147),C147&lt;=0)),"",G147-YEAR(TODAY()))</f>
        <v/>
      </c>
      <c r="J147" s="9"/>
      <c r="K147" s="8"/>
      <c r="L147" s="9"/>
    </row>
    <row r="148" customFormat="false" ht="21.75" hidden="false" customHeight="true" outlineLevel="0" collapsed="false">
      <c r="A148" s="5"/>
      <c r="B148" s="6"/>
      <c r="C148" s="7"/>
      <c r="D148" s="8"/>
      <c r="E148" s="9"/>
      <c r="F148" s="6"/>
      <c r="G148" s="6"/>
      <c r="H148" s="10" t="str">
        <f aca="true">IF(A148="","",IF(AND(ISNUMBER(C148),C148&lt;=0),"6 - Out of stock",IF(OR(NOT(ISNUMBER(C148)),NOT(ISNUMBER(G148)),AND(ISNUMBER(F148),ISNUMBER(G148),F148&gt;G148)),"5 - Missing info",IF(YEAR(TODAY())&gt;G148,"1 - URGENT (past peak)",IF(YEAR(TODAY())=G148,"2 - Drink this year",IF(OR(NOT(ISNUMBER(F148)),YEAR(TODAY())&gt;=F148),"3 - Ready to drink","4 - Hold (too young)"))))))</f>
        <v/>
      </c>
      <c r="I148" s="11" t="str">
        <f aca="true">IF(OR(A148="",NOT(ISNUMBER(G148)),AND(ISNUMBER(C148),C148&lt;=0)),"",G148-YEAR(TODAY()))</f>
        <v/>
      </c>
      <c r="J148" s="9"/>
      <c r="K148" s="8"/>
      <c r="L148" s="9"/>
    </row>
    <row r="149" customFormat="false" ht="21.75" hidden="false" customHeight="true" outlineLevel="0" collapsed="false">
      <c r="A149" s="5"/>
      <c r="B149" s="6"/>
      <c r="C149" s="7"/>
      <c r="D149" s="8"/>
      <c r="E149" s="9"/>
      <c r="F149" s="6"/>
      <c r="G149" s="6"/>
      <c r="H149" s="10" t="str">
        <f aca="true">IF(A149="","",IF(AND(ISNUMBER(C149),C149&lt;=0),"6 - Out of stock",IF(OR(NOT(ISNUMBER(C149)),NOT(ISNUMBER(G149)),AND(ISNUMBER(F149),ISNUMBER(G149),F149&gt;G149)),"5 - Missing info",IF(YEAR(TODAY())&gt;G149,"1 - URGENT (past peak)",IF(YEAR(TODAY())=G149,"2 - Drink this year",IF(OR(NOT(ISNUMBER(F149)),YEAR(TODAY())&gt;=F149),"3 - Ready to drink","4 - Hold (too young)"))))))</f>
        <v/>
      </c>
      <c r="I149" s="11" t="str">
        <f aca="true">IF(OR(A149="",NOT(ISNUMBER(G149)),AND(ISNUMBER(C149),C149&lt;=0)),"",G149-YEAR(TODAY()))</f>
        <v/>
      </c>
      <c r="J149" s="9"/>
      <c r="K149" s="8"/>
      <c r="L149" s="9"/>
    </row>
    <row r="150" customFormat="false" ht="21.75" hidden="false" customHeight="true" outlineLevel="0" collapsed="false">
      <c r="A150" s="5"/>
      <c r="B150" s="6"/>
      <c r="C150" s="7"/>
      <c r="D150" s="8"/>
      <c r="E150" s="9"/>
      <c r="F150" s="6"/>
      <c r="G150" s="6"/>
      <c r="H150" s="10" t="str">
        <f aca="true">IF(A150="","",IF(AND(ISNUMBER(C150),C150&lt;=0),"6 - Out of stock",IF(OR(NOT(ISNUMBER(C150)),NOT(ISNUMBER(G150)),AND(ISNUMBER(F150),ISNUMBER(G150),F150&gt;G150)),"5 - Missing info",IF(YEAR(TODAY())&gt;G150,"1 - URGENT (past peak)",IF(YEAR(TODAY())=G150,"2 - Drink this year",IF(OR(NOT(ISNUMBER(F150)),YEAR(TODAY())&gt;=F150),"3 - Ready to drink","4 - Hold (too young)"))))))</f>
        <v/>
      </c>
      <c r="I150" s="11" t="str">
        <f aca="true">IF(OR(A150="",NOT(ISNUMBER(G150)),AND(ISNUMBER(C150),C150&lt;=0)),"",G150-YEAR(TODAY()))</f>
        <v/>
      </c>
      <c r="J150" s="9"/>
      <c r="K150" s="8"/>
      <c r="L150" s="9"/>
    </row>
    <row r="151" customFormat="false" ht="21.75" hidden="false" customHeight="true" outlineLevel="0" collapsed="false">
      <c r="A151" s="5"/>
      <c r="B151" s="6"/>
      <c r="C151" s="7"/>
      <c r="D151" s="8"/>
      <c r="E151" s="9"/>
      <c r="F151" s="6"/>
      <c r="G151" s="6"/>
      <c r="H151" s="10" t="str">
        <f aca="true">IF(A151="","",IF(AND(ISNUMBER(C151),C151&lt;=0),"6 - Out of stock",IF(OR(NOT(ISNUMBER(C151)),NOT(ISNUMBER(G151)),AND(ISNUMBER(F151),ISNUMBER(G151),F151&gt;G151)),"5 - Missing info",IF(YEAR(TODAY())&gt;G151,"1 - URGENT (past peak)",IF(YEAR(TODAY())=G151,"2 - Drink this year",IF(OR(NOT(ISNUMBER(F151)),YEAR(TODAY())&gt;=F151),"3 - Ready to drink","4 - Hold (too young)"))))))</f>
        <v/>
      </c>
      <c r="I151" s="11" t="str">
        <f aca="true">IF(OR(A151="",NOT(ISNUMBER(G151)),AND(ISNUMBER(C151),C151&lt;=0)),"",G151-YEAR(TODAY()))</f>
        <v/>
      </c>
      <c r="J151" s="9"/>
      <c r="K151" s="8"/>
      <c r="L151" s="9"/>
    </row>
    <row r="152" customFormat="false" ht="21.75" hidden="false" customHeight="true" outlineLevel="0" collapsed="false">
      <c r="A152" s="5"/>
      <c r="B152" s="6"/>
      <c r="C152" s="7"/>
      <c r="D152" s="8"/>
      <c r="E152" s="9"/>
      <c r="F152" s="6"/>
      <c r="G152" s="6"/>
      <c r="H152" s="10" t="str">
        <f aca="true">IF(A152="","",IF(AND(ISNUMBER(C152),C152&lt;=0),"6 - Out of stock",IF(OR(NOT(ISNUMBER(C152)),NOT(ISNUMBER(G152)),AND(ISNUMBER(F152),ISNUMBER(G152),F152&gt;G152)),"5 - Missing info",IF(YEAR(TODAY())&gt;G152,"1 - URGENT (past peak)",IF(YEAR(TODAY())=G152,"2 - Drink this year",IF(OR(NOT(ISNUMBER(F152)),YEAR(TODAY())&gt;=F152),"3 - Ready to drink","4 - Hold (too young)"))))))</f>
        <v/>
      </c>
      <c r="I152" s="11" t="str">
        <f aca="true">IF(OR(A152="",NOT(ISNUMBER(G152)),AND(ISNUMBER(C152),C152&lt;=0)),"",G152-YEAR(TODAY()))</f>
        <v/>
      </c>
      <c r="J152" s="9"/>
      <c r="K152" s="8"/>
      <c r="L152" s="9"/>
    </row>
    <row r="153" customFormat="false" ht="21.75" hidden="false" customHeight="true" outlineLevel="0" collapsed="false">
      <c r="A153" s="5"/>
      <c r="B153" s="6"/>
      <c r="C153" s="7"/>
      <c r="D153" s="8"/>
      <c r="E153" s="9"/>
      <c r="F153" s="6"/>
      <c r="G153" s="6"/>
      <c r="H153" s="10" t="str">
        <f aca="true">IF(A153="","",IF(AND(ISNUMBER(C153),C153&lt;=0),"6 - Out of stock",IF(OR(NOT(ISNUMBER(C153)),NOT(ISNUMBER(G153)),AND(ISNUMBER(F153),ISNUMBER(G153),F153&gt;G153)),"5 - Missing info",IF(YEAR(TODAY())&gt;G153,"1 - URGENT (past peak)",IF(YEAR(TODAY())=G153,"2 - Drink this year",IF(OR(NOT(ISNUMBER(F153)),YEAR(TODAY())&gt;=F153),"3 - Ready to drink","4 - Hold (too young)"))))))</f>
        <v/>
      </c>
      <c r="I153" s="11" t="str">
        <f aca="true">IF(OR(A153="",NOT(ISNUMBER(G153)),AND(ISNUMBER(C153),C153&lt;=0)),"",G153-YEAR(TODAY()))</f>
        <v/>
      </c>
      <c r="J153" s="9"/>
      <c r="K153" s="8"/>
      <c r="L153" s="9"/>
    </row>
    <row r="154" customFormat="false" ht="21.75" hidden="false" customHeight="true" outlineLevel="0" collapsed="false">
      <c r="A154" s="5"/>
      <c r="B154" s="6"/>
      <c r="C154" s="7"/>
      <c r="D154" s="8"/>
      <c r="E154" s="9"/>
      <c r="F154" s="6"/>
      <c r="G154" s="6"/>
      <c r="H154" s="10" t="str">
        <f aca="true">IF(A154="","",IF(AND(ISNUMBER(C154),C154&lt;=0),"6 - Out of stock",IF(OR(NOT(ISNUMBER(C154)),NOT(ISNUMBER(G154)),AND(ISNUMBER(F154),ISNUMBER(G154),F154&gt;G154)),"5 - Missing info",IF(YEAR(TODAY())&gt;G154,"1 - URGENT (past peak)",IF(YEAR(TODAY())=G154,"2 - Drink this year",IF(OR(NOT(ISNUMBER(F154)),YEAR(TODAY())&gt;=F154),"3 - Ready to drink","4 - Hold (too young)"))))))</f>
        <v/>
      </c>
      <c r="I154" s="11" t="str">
        <f aca="true">IF(OR(A154="",NOT(ISNUMBER(G154)),AND(ISNUMBER(C154),C154&lt;=0)),"",G154-YEAR(TODAY()))</f>
        <v/>
      </c>
      <c r="J154" s="9"/>
      <c r="K154" s="8"/>
      <c r="L154" s="9"/>
    </row>
    <row r="155" customFormat="false" ht="21.75" hidden="false" customHeight="true" outlineLevel="0" collapsed="false">
      <c r="A155" s="5"/>
      <c r="B155" s="6"/>
      <c r="C155" s="7"/>
      <c r="D155" s="8"/>
      <c r="E155" s="9"/>
      <c r="F155" s="6"/>
      <c r="G155" s="6"/>
      <c r="H155" s="10" t="str">
        <f aca="true">IF(A155="","",IF(AND(ISNUMBER(C155),C155&lt;=0),"6 - Out of stock",IF(OR(NOT(ISNUMBER(C155)),NOT(ISNUMBER(G155)),AND(ISNUMBER(F155),ISNUMBER(G155),F155&gt;G155)),"5 - Missing info",IF(YEAR(TODAY())&gt;G155,"1 - URGENT (past peak)",IF(YEAR(TODAY())=G155,"2 - Drink this year",IF(OR(NOT(ISNUMBER(F155)),YEAR(TODAY())&gt;=F155),"3 - Ready to drink","4 - Hold (too young)"))))))</f>
        <v/>
      </c>
      <c r="I155" s="11" t="str">
        <f aca="true">IF(OR(A155="",NOT(ISNUMBER(G155)),AND(ISNUMBER(C155),C155&lt;=0)),"",G155-YEAR(TODAY()))</f>
        <v/>
      </c>
      <c r="J155" s="9"/>
      <c r="K155" s="8"/>
      <c r="L155" s="9"/>
    </row>
    <row r="156" customFormat="false" ht="21.75" hidden="false" customHeight="true" outlineLevel="0" collapsed="false">
      <c r="A156" s="5"/>
      <c r="B156" s="6"/>
      <c r="C156" s="7"/>
      <c r="D156" s="8"/>
      <c r="E156" s="9"/>
      <c r="F156" s="6"/>
      <c r="G156" s="6"/>
      <c r="H156" s="10" t="str">
        <f aca="true">IF(A156="","",IF(AND(ISNUMBER(C156),C156&lt;=0),"6 - Out of stock",IF(OR(NOT(ISNUMBER(C156)),NOT(ISNUMBER(G156)),AND(ISNUMBER(F156),ISNUMBER(G156),F156&gt;G156)),"5 - Missing info",IF(YEAR(TODAY())&gt;G156,"1 - URGENT (past peak)",IF(YEAR(TODAY())=G156,"2 - Drink this year",IF(OR(NOT(ISNUMBER(F156)),YEAR(TODAY())&gt;=F156),"3 - Ready to drink","4 - Hold (too young)"))))))</f>
        <v/>
      </c>
      <c r="I156" s="11" t="str">
        <f aca="true">IF(OR(A156="",NOT(ISNUMBER(G156)),AND(ISNUMBER(C156),C156&lt;=0)),"",G156-YEAR(TODAY()))</f>
        <v/>
      </c>
      <c r="J156" s="9"/>
      <c r="K156" s="8"/>
      <c r="L156" s="9"/>
    </row>
    <row r="157" customFormat="false" ht="21.75" hidden="false" customHeight="true" outlineLevel="0" collapsed="false">
      <c r="A157" s="5"/>
      <c r="B157" s="6"/>
      <c r="C157" s="7"/>
      <c r="D157" s="8"/>
      <c r="E157" s="9"/>
      <c r="F157" s="6"/>
      <c r="G157" s="6"/>
      <c r="H157" s="10" t="str">
        <f aca="true">IF(A157="","",IF(AND(ISNUMBER(C157),C157&lt;=0),"6 - Out of stock",IF(OR(NOT(ISNUMBER(C157)),NOT(ISNUMBER(G157)),AND(ISNUMBER(F157),ISNUMBER(G157),F157&gt;G157)),"5 - Missing info",IF(YEAR(TODAY())&gt;G157,"1 - URGENT (past peak)",IF(YEAR(TODAY())=G157,"2 - Drink this year",IF(OR(NOT(ISNUMBER(F157)),YEAR(TODAY())&gt;=F157),"3 - Ready to drink","4 - Hold (too young)"))))))</f>
        <v/>
      </c>
      <c r="I157" s="11" t="str">
        <f aca="true">IF(OR(A157="",NOT(ISNUMBER(G157)),AND(ISNUMBER(C157),C157&lt;=0)),"",G157-YEAR(TODAY()))</f>
        <v/>
      </c>
      <c r="J157" s="9"/>
      <c r="K157" s="8"/>
      <c r="L157" s="9"/>
    </row>
    <row r="158" customFormat="false" ht="21.75" hidden="false" customHeight="true" outlineLevel="0" collapsed="false">
      <c r="A158" s="5"/>
      <c r="B158" s="6"/>
      <c r="C158" s="7"/>
      <c r="D158" s="8"/>
      <c r="E158" s="9"/>
      <c r="F158" s="6"/>
      <c r="G158" s="6"/>
      <c r="H158" s="10" t="str">
        <f aca="true">IF(A158="","",IF(AND(ISNUMBER(C158),C158&lt;=0),"6 - Out of stock",IF(OR(NOT(ISNUMBER(C158)),NOT(ISNUMBER(G158)),AND(ISNUMBER(F158),ISNUMBER(G158),F158&gt;G158)),"5 - Missing info",IF(YEAR(TODAY())&gt;G158,"1 - URGENT (past peak)",IF(YEAR(TODAY())=G158,"2 - Drink this year",IF(OR(NOT(ISNUMBER(F158)),YEAR(TODAY())&gt;=F158),"3 - Ready to drink","4 - Hold (too young)"))))))</f>
        <v/>
      </c>
      <c r="I158" s="11" t="str">
        <f aca="true">IF(OR(A158="",NOT(ISNUMBER(G158)),AND(ISNUMBER(C158),C158&lt;=0)),"",G158-YEAR(TODAY()))</f>
        <v/>
      </c>
      <c r="J158" s="9"/>
      <c r="K158" s="8"/>
      <c r="L158" s="9"/>
    </row>
    <row r="159" customFormat="false" ht="21.75" hidden="false" customHeight="true" outlineLevel="0" collapsed="false">
      <c r="A159" s="5"/>
      <c r="B159" s="6"/>
      <c r="C159" s="7"/>
      <c r="D159" s="8"/>
      <c r="E159" s="9"/>
      <c r="F159" s="6"/>
      <c r="G159" s="6"/>
      <c r="H159" s="10" t="str">
        <f aca="true">IF(A159="","",IF(AND(ISNUMBER(C159),C159&lt;=0),"6 - Out of stock",IF(OR(NOT(ISNUMBER(C159)),NOT(ISNUMBER(G159)),AND(ISNUMBER(F159),ISNUMBER(G159),F159&gt;G159)),"5 - Missing info",IF(YEAR(TODAY())&gt;G159,"1 - URGENT (past peak)",IF(YEAR(TODAY())=G159,"2 - Drink this year",IF(OR(NOT(ISNUMBER(F159)),YEAR(TODAY())&gt;=F159),"3 - Ready to drink","4 - Hold (too young)"))))))</f>
        <v/>
      </c>
      <c r="I159" s="11" t="str">
        <f aca="true">IF(OR(A159="",NOT(ISNUMBER(G159)),AND(ISNUMBER(C159),C159&lt;=0)),"",G159-YEAR(TODAY()))</f>
        <v/>
      </c>
      <c r="J159" s="9"/>
      <c r="K159" s="8"/>
      <c r="L159" s="9"/>
    </row>
    <row r="160" customFormat="false" ht="21.75" hidden="false" customHeight="true" outlineLevel="0" collapsed="false">
      <c r="A160" s="5"/>
      <c r="B160" s="6"/>
      <c r="C160" s="7"/>
      <c r="D160" s="8"/>
      <c r="E160" s="9"/>
      <c r="F160" s="6"/>
      <c r="G160" s="6"/>
      <c r="H160" s="10" t="str">
        <f aca="true">IF(A160="","",IF(AND(ISNUMBER(C160),C160&lt;=0),"6 - Out of stock",IF(OR(NOT(ISNUMBER(C160)),NOT(ISNUMBER(G160)),AND(ISNUMBER(F160),ISNUMBER(G160),F160&gt;G160)),"5 - Missing info",IF(YEAR(TODAY())&gt;G160,"1 - URGENT (past peak)",IF(YEAR(TODAY())=G160,"2 - Drink this year",IF(OR(NOT(ISNUMBER(F160)),YEAR(TODAY())&gt;=F160),"3 - Ready to drink","4 - Hold (too young)"))))))</f>
        <v/>
      </c>
      <c r="I160" s="11" t="str">
        <f aca="true">IF(OR(A160="",NOT(ISNUMBER(G160)),AND(ISNUMBER(C160),C160&lt;=0)),"",G160-YEAR(TODAY()))</f>
        <v/>
      </c>
      <c r="J160" s="9"/>
      <c r="K160" s="8"/>
      <c r="L160" s="9"/>
    </row>
    <row r="161" customFormat="false" ht="21.75" hidden="false" customHeight="true" outlineLevel="0" collapsed="false">
      <c r="A161" s="5"/>
      <c r="B161" s="6"/>
      <c r="C161" s="7"/>
      <c r="D161" s="8"/>
      <c r="E161" s="9"/>
      <c r="F161" s="6"/>
      <c r="G161" s="6"/>
      <c r="H161" s="10" t="str">
        <f aca="true">IF(A161="","",IF(AND(ISNUMBER(C161),C161&lt;=0),"6 - Out of stock",IF(OR(NOT(ISNUMBER(C161)),NOT(ISNUMBER(G161)),AND(ISNUMBER(F161),ISNUMBER(G161),F161&gt;G161)),"5 - Missing info",IF(YEAR(TODAY())&gt;G161,"1 - URGENT (past peak)",IF(YEAR(TODAY())=G161,"2 - Drink this year",IF(OR(NOT(ISNUMBER(F161)),YEAR(TODAY())&gt;=F161),"3 - Ready to drink","4 - Hold (too young)"))))))</f>
        <v/>
      </c>
      <c r="I161" s="11" t="str">
        <f aca="true">IF(OR(A161="",NOT(ISNUMBER(G161)),AND(ISNUMBER(C161),C161&lt;=0)),"",G161-YEAR(TODAY()))</f>
        <v/>
      </c>
      <c r="J161" s="9"/>
      <c r="K161" s="8"/>
      <c r="L161" s="9"/>
    </row>
    <row r="162" customFormat="false" ht="21.75" hidden="false" customHeight="true" outlineLevel="0" collapsed="false">
      <c r="A162" s="5"/>
      <c r="B162" s="6"/>
      <c r="C162" s="7"/>
      <c r="D162" s="8"/>
      <c r="E162" s="9"/>
      <c r="F162" s="6"/>
      <c r="G162" s="6"/>
      <c r="H162" s="10" t="str">
        <f aca="true">IF(A162="","",IF(AND(ISNUMBER(C162),C162&lt;=0),"6 - Out of stock",IF(OR(NOT(ISNUMBER(C162)),NOT(ISNUMBER(G162)),AND(ISNUMBER(F162),ISNUMBER(G162),F162&gt;G162)),"5 - Missing info",IF(YEAR(TODAY())&gt;G162,"1 - URGENT (past peak)",IF(YEAR(TODAY())=G162,"2 - Drink this year",IF(OR(NOT(ISNUMBER(F162)),YEAR(TODAY())&gt;=F162),"3 - Ready to drink","4 - Hold (too young)"))))))</f>
        <v/>
      </c>
      <c r="I162" s="11" t="str">
        <f aca="true">IF(OR(A162="",NOT(ISNUMBER(G162)),AND(ISNUMBER(C162),C162&lt;=0)),"",G162-YEAR(TODAY()))</f>
        <v/>
      </c>
      <c r="J162" s="9"/>
      <c r="K162" s="8"/>
      <c r="L162" s="9"/>
    </row>
    <row r="163" customFormat="false" ht="21.75" hidden="false" customHeight="true" outlineLevel="0" collapsed="false">
      <c r="A163" s="5"/>
      <c r="B163" s="6"/>
      <c r="C163" s="7"/>
      <c r="D163" s="8"/>
      <c r="E163" s="9"/>
      <c r="F163" s="6"/>
      <c r="G163" s="6"/>
      <c r="H163" s="10" t="str">
        <f aca="true">IF(A163="","",IF(AND(ISNUMBER(C163),C163&lt;=0),"6 - Out of stock",IF(OR(NOT(ISNUMBER(C163)),NOT(ISNUMBER(G163)),AND(ISNUMBER(F163),ISNUMBER(G163),F163&gt;G163)),"5 - Missing info",IF(YEAR(TODAY())&gt;G163,"1 - URGENT (past peak)",IF(YEAR(TODAY())=G163,"2 - Drink this year",IF(OR(NOT(ISNUMBER(F163)),YEAR(TODAY())&gt;=F163),"3 - Ready to drink","4 - Hold (too young)"))))))</f>
        <v/>
      </c>
      <c r="I163" s="11" t="str">
        <f aca="true">IF(OR(A163="",NOT(ISNUMBER(G163)),AND(ISNUMBER(C163),C163&lt;=0)),"",G163-YEAR(TODAY()))</f>
        <v/>
      </c>
      <c r="J163" s="9"/>
      <c r="K163" s="8"/>
      <c r="L163" s="9"/>
    </row>
    <row r="164" customFormat="false" ht="21.75" hidden="false" customHeight="true" outlineLevel="0" collapsed="false">
      <c r="A164" s="5"/>
      <c r="B164" s="6"/>
      <c r="C164" s="7"/>
      <c r="D164" s="8"/>
      <c r="E164" s="9"/>
      <c r="F164" s="6"/>
      <c r="G164" s="6"/>
      <c r="H164" s="10" t="str">
        <f aca="true">IF(A164="","",IF(AND(ISNUMBER(C164),C164&lt;=0),"6 - Out of stock",IF(OR(NOT(ISNUMBER(C164)),NOT(ISNUMBER(G164)),AND(ISNUMBER(F164),ISNUMBER(G164),F164&gt;G164)),"5 - Missing info",IF(YEAR(TODAY())&gt;G164,"1 - URGENT (past peak)",IF(YEAR(TODAY())=G164,"2 - Drink this year",IF(OR(NOT(ISNUMBER(F164)),YEAR(TODAY())&gt;=F164),"3 - Ready to drink","4 - Hold (too young)"))))))</f>
        <v/>
      </c>
      <c r="I164" s="11" t="str">
        <f aca="true">IF(OR(A164="",NOT(ISNUMBER(G164)),AND(ISNUMBER(C164),C164&lt;=0)),"",G164-YEAR(TODAY()))</f>
        <v/>
      </c>
      <c r="J164" s="9"/>
      <c r="K164" s="8"/>
      <c r="L164" s="9"/>
    </row>
    <row r="165" customFormat="false" ht="21.75" hidden="false" customHeight="true" outlineLevel="0" collapsed="false">
      <c r="A165" s="5"/>
      <c r="B165" s="6"/>
      <c r="C165" s="7"/>
      <c r="D165" s="8"/>
      <c r="E165" s="9"/>
      <c r="F165" s="6"/>
      <c r="G165" s="6"/>
      <c r="H165" s="10" t="str">
        <f aca="true">IF(A165="","",IF(AND(ISNUMBER(C165),C165&lt;=0),"6 - Out of stock",IF(OR(NOT(ISNUMBER(C165)),NOT(ISNUMBER(G165)),AND(ISNUMBER(F165),ISNUMBER(G165),F165&gt;G165)),"5 - Missing info",IF(YEAR(TODAY())&gt;G165,"1 - URGENT (past peak)",IF(YEAR(TODAY())=G165,"2 - Drink this year",IF(OR(NOT(ISNUMBER(F165)),YEAR(TODAY())&gt;=F165),"3 - Ready to drink","4 - Hold (too young)"))))))</f>
        <v/>
      </c>
      <c r="I165" s="11" t="str">
        <f aca="true">IF(OR(A165="",NOT(ISNUMBER(G165)),AND(ISNUMBER(C165),C165&lt;=0)),"",G165-YEAR(TODAY()))</f>
        <v/>
      </c>
      <c r="J165" s="9"/>
      <c r="K165" s="8"/>
      <c r="L165" s="9"/>
    </row>
    <row r="166" customFormat="false" ht="21.75" hidden="false" customHeight="true" outlineLevel="0" collapsed="false">
      <c r="A166" s="5"/>
      <c r="B166" s="6"/>
      <c r="C166" s="7"/>
      <c r="D166" s="8"/>
      <c r="E166" s="9"/>
      <c r="F166" s="6"/>
      <c r="G166" s="6"/>
      <c r="H166" s="10" t="str">
        <f aca="true">IF(A166="","",IF(AND(ISNUMBER(C166),C166&lt;=0),"6 - Out of stock",IF(OR(NOT(ISNUMBER(C166)),NOT(ISNUMBER(G166)),AND(ISNUMBER(F166),ISNUMBER(G166),F166&gt;G166)),"5 - Missing info",IF(YEAR(TODAY())&gt;G166,"1 - URGENT (past peak)",IF(YEAR(TODAY())=G166,"2 - Drink this year",IF(OR(NOT(ISNUMBER(F166)),YEAR(TODAY())&gt;=F166),"3 - Ready to drink","4 - Hold (too young)"))))))</f>
        <v/>
      </c>
      <c r="I166" s="11" t="str">
        <f aca="true">IF(OR(A166="",NOT(ISNUMBER(G166)),AND(ISNUMBER(C166),C166&lt;=0)),"",G166-YEAR(TODAY()))</f>
        <v/>
      </c>
      <c r="J166" s="9"/>
      <c r="K166" s="8"/>
      <c r="L166" s="9"/>
    </row>
    <row r="167" customFormat="false" ht="21.75" hidden="false" customHeight="true" outlineLevel="0" collapsed="false">
      <c r="A167" s="5"/>
      <c r="B167" s="6"/>
      <c r="C167" s="7"/>
      <c r="D167" s="8"/>
      <c r="E167" s="9"/>
      <c r="F167" s="6"/>
      <c r="G167" s="6"/>
      <c r="H167" s="10" t="str">
        <f aca="true">IF(A167="","",IF(AND(ISNUMBER(C167),C167&lt;=0),"6 - Out of stock",IF(OR(NOT(ISNUMBER(C167)),NOT(ISNUMBER(G167)),AND(ISNUMBER(F167),ISNUMBER(G167),F167&gt;G167)),"5 - Missing info",IF(YEAR(TODAY())&gt;G167,"1 - URGENT (past peak)",IF(YEAR(TODAY())=G167,"2 - Drink this year",IF(OR(NOT(ISNUMBER(F167)),YEAR(TODAY())&gt;=F167),"3 - Ready to drink","4 - Hold (too young)"))))))</f>
        <v/>
      </c>
      <c r="I167" s="11" t="str">
        <f aca="true">IF(OR(A167="",NOT(ISNUMBER(G167)),AND(ISNUMBER(C167),C167&lt;=0)),"",G167-YEAR(TODAY()))</f>
        <v/>
      </c>
      <c r="J167" s="9"/>
      <c r="K167" s="8"/>
      <c r="L167" s="9"/>
    </row>
    <row r="168" customFormat="false" ht="21.75" hidden="false" customHeight="true" outlineLevel="0" collapsed="false">
      <c r="A168" s="5"/>
      <c r="B168" s="6"/>
      <c r="C168" s="7"/>
      <c r="D168" s="8"/>
      <c r="E168" s="9"/>
      <c r="F168" s="6"/>
      <c r="G168" s="6"/>
      <c r="H168" s="10" t="str">
        <f aca="true">IF(A168="","",IF(AND(ISNUMBER(C168),C168&lt;=0),"6 - Out of stock",IF(OR(NOT(ISNUMBER(C168)),NOT(ISNUMBER(G168)),AND(ISNUMBER(F168),ISNUMBER(G168),F168&gt;G168)),"5 - Missing info",IF(YEAR(TODAY())&gt;G168,"1 - URGENT (past peak)",IF(YEAR(TODAY())=G168,"2 - Drink this year",IF(OR(NOT(ISNUMBER(F168)),YEAR(TODAY())&gt;=F168),"3 - Ready to drink","4 - Hold (too young)"))))))</f>
        <v/>
      </c>
      <c r="I168" s="11" t="str">
        <f aca="true">IF(OR(A168="",NOT(ISNUMBER(G168)),AND(ISNUMBER(C168),C168&lt;=0)),"",G168-YEAR(TODAY()))</f>
        <v/>
      </c>
      <c r="J168" s="9"/>
      <c r="K168" s="8"/>
      <c r="L168" s="9"/>
    </row>
    <row r="169" customFormat="false" ht="21.75" hidden="false" customHeight="true" outlineLevel="0" collapsed="false">
      <c r="A169" s="5"/>
      <c r="B169" s="6"/>
      <c r="C169" s="7"/>
      <c r="D169" s="8"/>
      <c r="E169" s="9"/>
      <c r="F169" s="6"/>
      <c r="G169" s="6"/>
      <c r="H169" s="10" t="str">
        <f aca="true">IF(A169="","",IF(AND(ISNUMBER(C169),C169&lt;=0),"6 - Out of stock",IF(OR(NOT(ISNUMBER(C169)),NOT(ISNUMBER(G169)),AND(ISNUMBER(F169),ISNUMBER(G169),F169&gt;G169)),"5 - Missing info",IF(YEAR(TODAY())&gt;G169,"1 - URGENT (past peak)",IF(YEAR(TODAY())=G169,"2 - Drink this year",IF(OR(NOT(ISNUMBER(F169)),YEAR(TODAY())&gt;=F169),"3 - Ready to drink","4 - Hold (too young)"))))))</f>
        <v/>
      </c>
      <c r="I169" s="11" t="str">
        <f aca="true">IF(OR(A169="",NOT(ISNUMBER(G169)),AND(ISNUMBER(C169),C169&lt;=0)),"",G169-YEAR(TODAY()))</f>
        <v/>
      </c>
      <c r="J169" s="9"/>
      <c r="K169" s="8"/>
      <c r="L169" s="9"/>
    </row>
    <row r="170" customFormat="false" ht="21.75" hidden="false" customHeight="true" outlineLevel="0" collapsed="false">
      <c r="A170" s="5"/>
      <c r="B170" s="6"/>
      <c r="C170" s="7"/>
      <c r="D170" s="8"/>
      <c r="E170" s="9"/>
      <c r="F170" s="6"/>
      <c r="G170" s="6"/>
      <c r="H170" s="10" t="str">
        <f aca="true">IF(A170="","",IF(AND(ISNUMBER(C170),C170&lt;=0),"6 - Out of stock",IF(OR(NOT(ISNUMBER(C170)),NOT(ISNUMBER(G170)),AND(ISNUMBER(F170),ISNUMBER(G170),F170&gt;G170)),"5 - Missing info",IF(YEAR(TODAY())&gt;G170,"1 - URGENT (past peak)",IF(YEAR(TODAY())=G170,"2 - Drink this year",IF(OR(NOT(ISNUMBER(F170)),YEAR(TODAY())&gt;=F170),"3 - Ready to drink","4 - Hold (too young)"))))))</f>
        <v/>
      </c>
      <c r="I170" s="11" t="str">
        <f aca="true">IF(OR(A170="",NOT(ISNUMBER(G170)),AND(ISNUMBER(C170),C170&lt;=0)),"",G170-YEAR(TODAY()))</f>
        <v/>
      </c>
      <c r="J170" s="9"/>
      <c r="K170" s="8"/>
      <c r="L170" s="9"/>
    </row>
    <row r="171" customFormat="false" ht="21.75" hidden="false" customHeight="true" outlineLevel="0" collapsed="false">
      <c r="A171" s="5"/>
      <c r="B171" s="6"/>
      <c r="C171" s="7"/>
      <c r="D171" s="8"/>
      <c r="E171" s="9"/>
      <c r="F171" s="6"/>
      <c r="G171" s="6"/>
      <c r="H171" s="10" t="str">
        <f aca="true">IF(A171="","",IF(AND(ISNUMBER(C171),C171&lt;=0),"6 - Out of stock",IF(OR(NOT(ISNUMBER(C171)),NOT(ISNUMBER(G171)),AND(ISNUMBER(F171),ISNUMBER(G171),F171&gt;G171)),"5 - Missing info",IF(YEAR(TODAY())&gt;G171,"1 - URGENT (past peak)",IF(YEAR(TODAY())=G171,"2 - Drink this year",IF(OR(NOT(ISNUMBER(F171)),YEAR(TODAY())&gt;=F171),"3 - Ready to drink","4 - Hold (too young)"))))))</f>
        <v/>
      </c>
      <c r="I171" s="11" t="str">
        <f aca="true">IF(OR(A171="",NOT(ISNUMBER(G171)),AND(ISNUMBER(C171),C171&lt;=0)),"",G171-YEAR(TODAY()))</f>
        <v/>
      </c>
      <c r="J171" s="9"/>
      <c r="K171" s="8"/>
      <c r="L171" s="9"/>
    </row>
    <row r="172" customFormat="false" ht="21.75" hidden="false" customHeight="true" outlineLevel="0" collapsed="false">
      <c r="A172" s="5"/>
      <c r="B172" s="6"/>
      <c r="C172" s="7"/>
      <c r="D172" s="8"/>
      <c r="E172" s="9"/>
      <c r="F172" s="6"/>
      <c r="G172" s="6"/>
      <c r="H172" s="10" t="str">
        <f aca="true">IF(A172="","",IF(AND(ISNUMBER(C172),C172&lt;=0),"6 - Out of stock",IF(OR(NOT(ISNUMBER(C172)),NOT(ISNUMBER(G172)),AND(ISNUMBER(F172),ISNUMBER(G172),F172&gt;G172)),"5 - Missing info",IF(YEAR(TODAY())&gt;G172,"1 - URGENT (past peak)",IF(YEAR(TODAY())=G172,"2 - Drink this year",IF(OR(NOT(ISNUMBER(F172)),YEAR(TODAY())&gt;=F172),"3 - Ready to drink","4 - Hold (too young)"))))))</f>
        <v/>
      </c>
      <c r="I172" s="11" t="str">
        <f aca="true">IF(OR(A172="",NOT(ISNUMBER(G172)),AND(ISNUMBER(C172),C172&lt;=0)),"",G172-YEAR(TODAY()))</f>
        <v/>
      </c>
      <c r="J172" s="9"/>
      <c r="K172" s="8"/>
      <c r="L172" s="9"/>
    </row>
    <row r="173" customFormat="false" ht="21.75" hidden="false" customHeight="true" outlineLevel="0" collapsed="false">
      <c r="A173" s="5"/>
      <c r="B173" s="6"/>
      <c r="C173" s="7"/>
      <c r="D173" s="8"/>
      <c r="E173" s="9"/>
      <c r="F173" s="6"/>
      <c r="G173" s="6"/>
      <c r="H173" s="10" t="str">
        <f aca="true">IF(A173="","",IF(AND(ISNUMBER(C173),C173&lt;=0),"6 - Out of stock",IF(OR(NOT(ISNUMBER(C173)),NOT(ISNUMBER(G173)),AND(ISNUMBER(F173),ISNUMBER(G173),F173&gt;G173)),"5 - Missing info",IF(YEAR(TODAY())&gt;G173,"1 - URGENT (past peak)",IF(YEAR(TODAY())=G173,"2 - Drink this year",IF(OR(NOT(ISNUMBER(F173)),YEAR(TODAY())&gt;=F173),"3 - Ready to drink","4 - Hold (too young)"))))))</f>
        <v/>
      </c>
      <c r="I173" s="11" t="str">
        <f aca="true">IF(OR(A173="",NOT(ISNUMBER(G173)),AND(ISNUMBER(C173),C173&lt;=0)),"",G173-YEAR(TODAY()))</f>
        <v/>
      </c>
      <c r="J173" s="9"/>
      <c r="K173" s="8"/>
      <c r="L173" s="9"/>
    </row>
    <row r="174" customFormat="false" ht="21.75" hidden="false" customHeight="true" outlineLevel="0" collapsed="false">
      <c r="A174" s="5"/>
      <c r="B174" s="6"/>
      <c r="C174" s="7"/>
      <c r="D174" s="8"/>
      <c r="E174" s="9"/>
      <c r="F174" s="6"/>
      <c r="G174" s="6"/>
      <c r="H174" s="10" t="str">
        <f aca="true">IF(A174="","",IF(AND(ISNUMBER(C174),C174&lt;=0),"6 - Out of stock",IF(OR(NOT(ISNUMBER(C174)),NOT(ISNUMBER(G174)),AND(ISNUMBER(F174),ISNUMBER(G174),F174&gt;G174)),"5 - Missing info",IF(YEAR(TODAY())&gt;G174,"1 - URGENT (past peak)",IF(YEAR(TODAY())=G174,"2 - Drink this year",IF(OR(NOT(ISNUMBER(F174)),YEAR(TODAY())&gt;=F174),"3 - Ready to drink","4 - Hold (too young)"))))))</f>
        <v/>
      </c>
      <c r="I174" s="11" t="str">
        <f aca="true">IF(OR(A174="",NOT(ISNUMBER(G174)),AND(ISNUMBER(C174),C174&lt;=0)),"",G174-YEAR(TODAY()))</f>
        <v/>
      </c>
      <c r="J174" s="9"/>
      <c r="K174" s="8"/>
      <c r="L174" s="9"/>
    </row>
    <row r="175" customFormat="false" ht="21.75" hidden="false" customHeight="true" outlineLevel="0" collapsed="false">
      <c r="A175" s="5"/>
      <c r="B175" s="6"/>
      <c r="C175" s="7"/>
      <c r="D175" s="8"/>
      <c r="E175" s="9"/>
      <c r="F175" s="6"/>
      <c r="G175" s="6"/>
      <c r="H175" s="10" t="str">
        <f aca="true">IF(A175="","",IF(AND(ISNUMBER(C175),C175&lt;=0),"6 - Out of stock",IF(OR(NOT(ISNUMBER(C175)),NOT(ISNUMBER(G175)),AND(ISNUMBER(F175),ISNUMBER(G175),F175&gt;G175)),"5 - Missing info",IF(YEAR(TODAY())&gt;G175,"1 - URGENT (past peak)",IF(YEAR(TODAY())=G175,"2 - Drink this year",IF(OR(NOT(ISNUMBER(F175)),YEAR(TODAY())&gt;=F175),"3 - Ready to drink","4 - Hold (too young)"))))))</f>
        <v/>
      </c>
      <c r="I175" s="11" t="str">
        <f aca="true">IF(OR(A175="",NOT(ISNUMBER(G175)),AND(ISNUMBER(C175),C175&lt;=0)),"",G175-YEAR(TODAY()))</f>
        <v/>
      </c>
      <c r="J175" s="9"/>
      <c r="K175" s="8"/>
      <c r="L175" s="9"/>
    </row>
    <row r="176" customFormat="false" ht="21.75" hidden="false" customHeight="true" outlineLevel="0" collapsed="false">
      <c r="A176" s="5"/>
      <c r="B176" s="6"/>
      <c r="C176" s="7"/>
      <c r="D176" s="8"/>
      <c r="E176" s="9"/>
      <c r="F176" s="6"/>
      <c r="G176" s="6"/>
      <c r="H176" s="10" t="str">
        <f aca="true">IF(A176="","",IF(AND(ISNUMBER(C176),C176&lt;=0),"6 - Out of stock",IF(OR(NOT(ISNUMBER(C176)),NOT(ISNUMBER(G176)),AND(ISNUMBER(F176),ISNUMBER(G176),F176&gt;G176)),"5 - Missing info",IF(YEAR(TODAY())&gt;G176,"1 - URGENT (past peak)",IF(YEAR(TODAY())=G176,"2 - Drink this year",IF(OR(NOT(ISNUMBER(F176)),YEAR(TODAY())&gt;=F176),"3 - Ready to drink","4 - Hold (too young)"))))))</f>
        <v/>
      </c>
      <c r="I176" s="11" t="str">
        <f aca="true">IF(OR(A176="",NOT(ISNUMBER(G176)),AND(ISNUMBER(C176),C176&lt;=0)),"",G176-YEAR(TODAY()))</f>
        <v/>
      </c>
      <c r="J176" s="9"/>
      <c r="K176" s="8"/>
      <c r="L176" s="9"/>
    </row>
    <row r="177" customFormat="false" ht="21.75" hidden="false" customHeight="true" outlineLevel="0" collapsed="false">
      <c r="A177" s="5"/>
      <c r="B177" s="6"/>
      <c r="C177" s="7"/>
      <c r="D177" s="8"/>
      <c r="E177" s="9"/>
      <c r="F177" s="6"/>
      <c r="G177" s="6"/>
      <c r="H177" s="10" t="str">
        <f aca="true">IF(A177="","",IF(AND(ISNUMBER(C177),C177&lt;=0),"6 - Out of stock",IF(OR(NOT(ISNUMBER(C177)),NOT(ISNUMBER(G177)),AND(ISNUMBER(F177),ISNUMBER(G177),F177&gt;G177)),"5 - Missing info",IF(YEAR(TODAY())&gt;G177,"1 - URGENT (past peak)",IF(YEAR(TODAY())=G177,"2 - Drink this year",IF(OR(NOT(ISNUMBER(F177)),YEAR(TODAY())&gt;=F177),"3 - Ready to drink","4 - Hold (too young)"))))))</f>
        <v/>
      </c>
      <c r="I177" s="11" t="str">
        <f aca="true">IF(OR(A177="",NOT(ISNUMBER(G177)),AND(ISNUMBER(C177),C177&lt;=0)),"",G177-YEAR(TODAY()))</f>
        <v/>
      </c>
      <c r="J177" s="9"/>
      <c r="K177" s="8"/>
      <c r="L177" s="9"/>
    </row>
    <row r="178" customFormat="false" ht="21.75" hidden="false" customHeight="true" outlineLevel="0" collapsed="false">
      <c r="A178" s="5"/>
      <c r="B178" s="6"/>
      <c r="C178" s="7"/>
      <c r="D178" s="8"/>
      <c r="E178" s="9"/>
      <c r="F178" s="6"/>
      <c r="G178" s="6"/>
      <c r="H178" s="10" t="str">
        <f aca="true">IF(A178="","",IF(AND(ISNUMBER(C178),C178&lt;=0),"6 - Out of stock",IF(OR(NOT(ISNUMBER(C178)),NOT(ISNUMBER(G178)),AND(ISNUMBER(F178),ISNUMBER(G178),F178&gt;G178)),"5 - Missing info",IF(YEAR(TODAY())&gt;G178,"1 - URGENT (past peak)",IF(YEAR(TODAY())=G178,"2 - Drink this year",IF(OR(NOT(ISNUMBER(F178)),YEAR(TODAY())&gt;=F178),"3 - Ready to drink","4 - Hold (too young)"))))))</f>
        <v/>
      </c>
      <c r="I178" s="11" t="str">
        <f aca="true">IF(OR(A178="",NOT(ISNUMBER(G178)),AND(ISNUMBER(C178),C178&lt;=0)),"",G178-YEAR(TODAY()))</f>
        <v/>
      </c>
      <c r="J178" s="9"/>
      <c r="K178" s="8"/>
      <c r="L178" s="9"/>
    </row>
    <row r="179" customFormat="false" ht="21.75" hidden="false" customHeight="true" outlineLevel="0" collapsed="false">
      <c r="A179" s="5"/>
      <c r="B179" s="6"/>
      <c r="C179" s="7"/>
      <c r="D179" s="8"/>
      <c r="E179" s="9"/>
      <c r="F179" s="6"/>
      <c r="G179" s="6"/>
      <c r="H179" s="10" t="str">
        <f aca="true">IF(A179="","",IF(AND(ISNUMBER(C179),C179&lt;=0),"6 - Out of stock",IF(OR(NOT(ISNUMBER(C179)),NOT(ISNUMBER(G179)),AND(ISNUMBER(F179),ISNUMBER(G179),F179&gt;G179)),"5 - Missing info",IF(YEAR(TODAY())&gt;G179,"1 - URGENT (past peak)",IF(YEAR(TODAY())=G179,"2 - Drink this year",IF(OR(NOT(ISNUMBER(F179)),YEAR(TODAY())&gt;=F179),"3 - Ready to drink","4 - Hold (too young)"))))))</f>
        <v/>
      </c>
      <c r="I179" s="11" t="str">
        <f aca="true">IF(OR(A179="",NOT(ISNUMBER(G179)),AND(ISNUMBER(C179),C179&lt;=0)),"",G179-YEAR(TODAY()))</f>
        <v/>
      </c>
      <c r="J179" s="9"/>
      <c r="K179" s="8"/>
      <c r="L179" s="9"/>
    </row>
    <row r="180" customFormat="false" ht="21.75" hidden="false" customHeight="true" outlineLevel="0" collapsed="false">
      <c r="A180" s="5"/>
      <c r="B180" s="6"/>
      <c r="C180" s="7"/>
      <c r="D180" s="8"/>
      <c r="E180" s="9"/>
      <c r="F180" s="6"/>
      <c r="G180" s="6"/>
      <c r="H180" s="10" t="str">
        <f aca="true">IF(A180="","",IF(AND(ISNUMBER(C180),C180&lt;=0),"6 - Out of stock",IF(OR(NOT(ISNUMBER(C180)),NOT(ISNUMBER(G180)),AND(ISNUMBER(F180),ISNUMBER(G180),F180&gt;G180)),"5 - Missing info",IF(YEAR(TODAY())&gt;G180,"1 - URGENT (past peak)",IF(YEAR(TODAY())=G180,"2 - Drink this year",IF(OR(NOT(ISNUMBER(F180)),YEAR(TODAY())&gt;=F180),"3 - Ready to drink","4 - Hold (too young)"))))))</f>
        <v/>
      </c>
      <c r="I180" s="11" t="str">
        <f aca="true">IF(OR(A180="",NOT(ISNUMBER(G180)),AND(ISNUMBER(C180),C180&lt;=0)),"",G180-YEAR(TODAY()))</f>
        <v/>
      </c>
      <c r="J180" s="9"/>
      <c r="K180" s="8"/>
      <c r="L180" s="9"/>
    </row>
    <row r="181" customFormat="false" ht="21.75" hidden="false" customHeight="true" outlineLevel="0" collapsed="false">
      <c r="A181" s="5"/>
      <c r="B181" s="6"/>
      <c r="C181" s="7"/>
      <c r="D181" s="8"/>
      <c r="E181" s="9"/>
      <c r="F181" s="6"/>
      <c r="G181" s="6"/>
      <c r="H181" s="10" t="str">
        <f aca="true">IF(A181="","",IF(AND(ISNUMBER(C181),C181&lt;=0),"6 - Out of stock",IF(OR(NOT(ISNUMBER(C181)),NOT(ISNUMBER(G181)),AND(ISNUMBER(F181),ISNUMBER(G181),F181&gt;G181)),"5 - Missing info",IF(YEAR(TODAY())&gt;G181,"1 - URGENT (past peak)",IF(YEAR(TODAY())=G181,"2 - Drink this year",IF(OR(NOT(ISNUMBER(F181)),YEAR(TODAY())&gt;=F181),"3 - Ready to drink","4 - Hold (too young)"))))))</f>
        <v/>
      </c>
      <c r="I181" s="11" t="str">
        <f aca="true">IF(OR(A181="",NOT(ISNUMBER(G181)),AND(ISNUMBER(C181),C181&lt;=0)),"",G181-YEAR(TODAY()))</f>
        <v/>
      </c>
      <c r="J181" s="9"/>
      <c r="K181" s="8"/>
      <c r="L181" s="9"/>
    </row>
    <row r="182" customFormat="false" ht="21.75" hidden="false" customHeight="true" outlineLevel="0" collapsed="false">
      <c r="A182" s="5"/>
      <c r="B182" s="6"/>
      <c r="C182" s="7"/>
      <c r="D182" s="8"/>
      <c r="E182" s="9"/>
      <c r="F182" s="6"/>
      <c r="G182" s="6"/>
      <c r="H182" s="10" t="str">
        <f aca="true">IF(A182="","",IF(AND(ISNUMBER(C182),C182&lt;=0),"6 - Out of stock",IF(OR(NOT(ISNUMBER(C182)),NOT(ISNUMBER(G182)),AND(ISNUMBER(F182),ISNUMBER(G182),F182&gt;G182)),"5 - Missing info",IF(YEAR(TODAY())&gt;G182,"1 - URGENT (past peak)",IF(YEAR(TODAY())=G182,"2 - Drink this year",IF(OR(NOT(ISNUMBER(F182)),YEAR(TODAY())&gt;=F182),"3 - Ready to drink","4 - Hold (too young)"))))))</f>
        <v/>
      </c>
      <c r="I182" s="11" t="str">
        <f aca="true">IF(OR(A182="",NOT(ISNUMBER(G182)),AND(ISNUMBER(C182),C182&lt;=0)),"",G182-YEAR(TODAY()))</f>
        <v/>
      </c>
      <c r="J182" s="9"/>
      <c r="K182" s="8"/>
      <c r="L182" s="9"/>
    </row>
    <row r="183" customFormat="false" ht="21.75" hidden="false" customHeight="true" outlineLevel="0" collapsed="false">
      <c r="A183" s="5"/>
      <c r="B183" s="6"/>
      <c r="C183" s="7"/>
      <c r="D183" s="8"/>
      <c r="E183" s="9"/>
      <c r="F183" s="6"/>
      <c r="G183" s="6"/>
      <c r="H183" s="10" t="str">
        <f aca="true">IF(A183="","",IF(AND(ISNUMBER(C183),C183&lt;=0),"6 - Out of stock",IF(OR(NOT(ISNUMBER(C183)),NOT(ISNUMBER(G183)),AND(ISNUMBER(F183),ISNUMBER(G183),F183&gt;G183)),"5 - Missing info",IF(YEAR(TODAY())&gt;G183,"1 - URGENT (past peak)",IF(YEAR(TODAY())=G183,"2 - Drink this year",IF(OR(NOT(ISNUMBER(F183)),YEAR(TODAY())&gt;=F183),"3 - Ready to drink","4 - Hold (too young)"))))))</f>
        <v/>
      </c>
      <c r="I183" s="11" t="str">
        <f aca="true">IF(OR(A183="",NOT(ISNUMBER(G183)),AND(ISNUMBER(C183),C183&lt;=0)),"",G183-YEAR(TODAY()))</f>
        <v/>
      </c>
      <c r="J183" s="9"/>
      <c r="K183" s="8"/>
      <c r="L183" s="9"/>
    </row>
    <row r="184" customFormat="false" ht="21.75" hidden="false" customHeight="true" outlineLevel="0" collapsed="false">
      <c r="A184" s="5"/>
      <c r="B184" s="6"/>
      <c r="C184" s="7"/>
      <c r="D184" s="8"/>
      <c r="E184" s="9"/>
      <c r="F184" s="6"/>
      <c r="G184" s="6"/>
      <c r="H184" s="10" t="str">
        <f aca="true">IF(A184="","",IF(AND(ISNUMBER(C184),C184&lt;=0),"6 - Out of stock",IF(OR(NOT(ISNUMBER(C184)),NOT(ISNUMBER(G184)),AND(ISNUMBER(F184),ISNUMBER(G184),F184&gt;G184)),"5 - Missing info",IF(YEAR(TODAY())&gt;G184,"1 - URGENT (past peak)",IF(YEAR(TODAY())=G184,"2 - Drink this year",IF(OR(NOT(ISNUMBER(F184)),YEAR(TODAY())&gt;=F184),"3 - Ready to drink","4 - Hold (too young)"))))))</f>
        <v/>
      </c>
      <c r="I184" s="11" t="str">
        <f aca="true">IF(OR(A184="",NOT(ISNUMBER(G184)),AND(ISNUMBER(C184),C184&lt;=0)),"",G184-YEAR(TODAY()))</f>
        <v/>
      </c>
      <c r="J184" s="9"/>
      <c r="K184" s="8"/>
      <c r="L184" s="9"/>
    </row>
    <row r="185" customFormat="false" ht="21.75" hidden="false" customHeight="true" outlineLevel="0" collapsed="false">
      <c r="A185" s="5"/>
      <c r="B185" s="6"/>
      <c r="C185" s="7"/>
      <c r="D185" s="8"/>
      <c r="E185" s="9"/>
      <c r="F185" s="6"/>
      <c r="G185" s="6"/>
      <c r="H185" s="10" t="str">
        <f aca="true">IF(A185="","",IF(AND(ISNUMBER(C185),C185&lt;=0),"6 - Out of stock",IF(OR(NOT(ISNUMBER(C185)),NOT(ISNUMBER(G185)),AND(ISNUMBER(F185),ISNUMBER(G185),F185&gt;G185)),"5 - Missing info",IF(YEAR(TODAY())&gt;G185,"1 - URGENT (past peak)",IF(YEAR(TODAY())=G185,"2 - Drink this year",IF(OR(NOT(ISNUMBER(F185)),YEAR(TODAY())&gt;=F185),"3 - Ready to drink","4 - Hold (too young)"))))))</f>
        <v/>
      </c>
      <c r="I185" s="11" t="str">
        <f aca="true">IF(OR(A185="",NOT(ISNUMBER(G185)),AND(ISNUMBER(C185),C185&lt;=0)),"",G185-YEAR(TODAY()))</f>
        <v/>
      </c>
      <c r="J185" s="9"/>
      <c r="K185" s="8"/>
      <c r="L185" s="9"/>
    </row>
    <row r="186" customFormat="false" ht="21.75" hidden="false" customHeight="true" outlineLevel="0" collapsed="false">
      <c r="A186" s="5"/>
      <c r="B186" s="6"/>
      <c r="C186" s="7"/>
      <c r="D186" s="8"/>
      <c r="E186" s="9"/>
      <c r="F186" s="6"/>
      <c r="G186" s="6"/>
      <c r="H186" s="10" t="str">
        <f aca="true">IF(A186="","",IF(AND(ISNUMBER(C186),C186&lt;=0),"6 - Out of stock",IF(OR(NOT(ISNUMBER(C186)),NOT(ISNUMBER(G186)),AND(ISNUMBER(F186),ISNUMBER(G186),F186&gt;G186)),"5 - Missing info",IF(YEAR(TODAY())&gt;G186,"1 - URGENT (past peak)",IF(YEAR(TODAY())=G186,"2 - Drink this year",IF(OR(NOT(ISNUMBER(F186)),YEAR(TODAY())&gt;=F186),"3 - Ready to drink","4 - Hold (too young)"))))))</f>
        <v/>
      </c>
      <c r="I186" s="11" t="str">
        <f aca="true">IF(OR(A186="",NOT(ISNUMBER(G186)),AND(ISNUMBER(C186),C186&lt;=0)),"",G186-YEAR(TODAY()))</f>
        <v/>
      </c>
      <c r="J186" s="9"/>
      <c r="K186" s="8"/>
      <c r="L186" s="9"/>
    </row>
    <row r="187" customFormat="false" ht="21.75" hidden="false" customHeight="true" outlineLevel="0" collapsed="false">
      <c r="A187" s="5"/>
      <c r="B187" s="6"/>
      <c r="C187" s="7"/>
      <c r="D187" s="8"/>
      <c r="E187" s="9"/>
      <c r="F187" s="6"/>
      <c r="G187" s="6"/>
      <c r="H187" s="10" t="str">
        <f aca="true">IF(A187="","",IF(AND(ISNUMBER(C187),C187&lt;=0),"6 - Out of stock",IF(OR(NOT(ISNUMBER(C187)),NOT(ISNUMBER(G187)),AND(ISNUMBER(F187),ISNUMBER(G187),F187&gt;G187)),"5 - Missing info",IF(YEAR(TODAY())&gt;G187,"1 - URGENT (past peak)",IF(YEAR(TODAY())=G187,"2 - Drink this year",IF(OR(NOT(ISNUMBER(F187)),YEAR(TODAY())&gt;=F187),"3 - Ready to drink","4 - Hold (too young)"))))))</f>
        <v/>
      </c>
      <c r="I187" s="11" t="str">
        <f aca="true">IF(OR(A187="",NOT(ISNUMBER(G187)),AND(ISNUMBER(C187),C187&lt;=0)),"",G187-YEAR(TODAY()))</f>
        <v/>
      </c>
      <c r="J187" s="9"/>
      <c r="K187" s="8"/>
      <c r="L187" s="9"/>
    </row>
    <row r="188" customFormat="false" ht="21.75" hidden="false" customHeight="true" outlineLevel="0" collapsed="false">
      <c r="A188" s="5"/>
      <c r="B188" s="6"/>
      <c r="C188" s="7"/>
      <c r="D188" s="8"/>
      <c r="E188" s="9"/>
      <c r="F188" s="6"/>
      <c r="G188" s="6"/>
      <c r="H188" s="10" t="str">
        <f aca="true">IF(A188="","",IF(AND(ISNUMBER(C188),C188&lt;=0),"6 - Out of stock",IF(OR(NOT(ISNUMBER(C188)),NOT(ISNUMBER(G188)),AND(ISNUMBER(F188),ISNUMBER(G188),F188&gt;G188)),"5 - Missing info",IF(YEAR(TODAY())&gt;G188,"1 - URGENT (past peak)",IF(YEAR(TODAY())=G188,"2 - Drink this year",IF(OR(NOT(ISNUMBER(F188)),YEAR(TODAY())&gt;=F188),"3 - Ready to drink","4 - Hold (too young)"))))))</f>
        <v/>
      </c>
      <c r="I188" s="11" t="str">
        <f aca="true">IF(OR(A188="",NOT(ISNUMBER(G188)),AND(ISNUMBER(C188),C188&lt;=0)),"",G188-YEAR(TODAY()))</f>
        <v/>
      </c>
      <c r="J188" s="9"/>
      <c r="K188" s="8"/>
      <c r="L188" s="9"/>
    </row>
    <row r="189" customFormat="false" ht="21.75" hidden="false" customHeight="true" outlineLevel="0" collapsed="false">
      <c r="A189" s="5"/>
      <c r="B189" s="6"/>
      <c r="C189" s="7"/>
      <c r="D189" s="8"/>
      <c r="E189" s="9"/>
      <c r="F189" s="6"/>
      <c r="G189" s="6"/>
      <c r="H189" s="10" t="str">
        <f aca="true">IF(A189="","",IF(AND(ISNUMBER(C189),C189&lt;=0),"6 - Out of stock",IF(OR(NOT(ISNUMBER(C189)),NOT(ISNUMBER(G189)),AND(ISNUMBER(F189),ISNUMBER(G189),F189&gt;G189)),"5 - Missing info",IF(YEAR(TODAY())&gt;G189,"1 - URGENT (past peak)",IF(YEAR(TODAY())=G189,"2 - Drink this year",IF(OR(NOT(ISNUMBER(F189)),YEAR(TODAY())&gt;=F189),"3 - Ready to drink","4 - Hold (too young)"))))))</f>
        <v/>
      </c>
      <c r="I189" s="11" t="str">
        <f aca="true">IF(OR(A189="",NOT(ISNUMBER(G189)),AND(ISNUMBER(C189),C189&lt;=0)),"",G189-YEAR(TODAY()))</f>
        <v/>
      </c>
      <c r="J189" s="9"/>
      <c r="K189" s="8"/>
      <c r="L189" s="9"/>
    </row>
    <row r="190" customFormat="false" ht="21.75" hidden="false" customHeight="true" outlineLevel="0" collapsed="false">
      <c r="A190" s="5"/>
      <c r="B190" s="6"/>
      <c r="C190" s="7"/>
      <c r="D190" s="8"/>
      <c r="E190" s="9"/>
      <c r="F190" s="6"/>
      <c r="G190" s="6"/>
      <c r="H190" s="10" t="str">
        <f aca="true">IF(A190="","",IF(AND(ISNUMBER(C190),C190&lt;=0),"6 - Out of stock",IF(OR(NOT(ISNUMBER(C190)),NOT(ISNUMBER(G190)),AND(ISNUMBER(F190),ISNUMBER(G190),F190&gt;G190)),"5 - Missing info",IF(YEAR(TODAY())&gt;G190,"1 - URGENT (past peak)",IF(YEAR(TODAY())=G190,"2 - Drink this year",IF(OR(NOT(ISNUMBER(F190)),YEAR(TODAY())&gt;=F190),"3 - Ready to drink","4 - Hold (too young)"))))))</f>
        <v/>
      </c>
      <c r="I190" s="11" t="str">
        <f aca="true">IF(OR(A190="",NOT(ISNUMBER(G190)),AND(ISNUMBER(C190),C190&lt;=0)),"",G190-YEAR(TODAY()))</f>
        <v/>
      </c>
      <c r="J190" s="9"/>
      <c r="K190" s="8"/>
      <c r="L190" s="9"/>
    </row>
    <row r="191" customFormat="false" ht="21.75" hidden="false" customHeight="true" outlineLevel="0" collapsed="false">
      <c r="A191" s="5"/>
      <c r="B191" s="6"/>
      <c r="C191" s="7"/>
      <c r="D191" s="8"/>
      <c r="E191" s="9"/>
      <c r="F191" s="6"/>
      <c r="G191" s="6"/>
      <c r="H191" s="10" t="str">
        <f aca="true">IF(A191="","",IF(AND(ISNUMBER(C191),C191&lt;=0),"6 - Out of stock",IF(OR(NOT(ISNUMBER(C191)),NOT(ISNUMBER(G191)),AND(ISNUMBER(F191),ISNUMBER(G191),F191&gt;G191)),"5 - Missing info",IF(YEAR(TODAY())&gt;G191,"1 - URGENT (past peak)",IF(YEAR(TODAY())=G191,"2 - Drink this year",IF(OR(NOT(ISNUMBER(F191)),YEAR(TODAY())&gt;=F191),"3 - Ready to drink","4 - Hold (too young)"))))))</f>
        <v/>
      </c>
      <c r="I191" s="11" t="str">
        <f aca="true">IF(OR(A191="",NOT(ISNUMBER(G191)),AND(ISNUMBER(C191),C191&lt;=0)),"",G191-YEAR(TODAY()))</f>
        <v/>
      </c>
      <c r="J191" s="9"/>
      <c r="K191" s="8"/>
      <c r="L191" s="9"/>
    </row>
    <row r="192" customFormat="false" ht="21.75" hidden="false" customHeight="true" outlineLevel="0" collapsed="false">
      <c r="A192" s="5"/>
      <c r="B192" s="6"/>
      <c r="C192" s="7"/>
      <c r="D192" s="8"/>
      <c r="E192" s="9"/>
      <c r="F192" s="6"/>
      <c r="G192" s="6"/>
      <c r="H192" s="10" t="str">
        <f aca="true">IF(A192="","",IF(AND(ISNUMBER(C192),C192&lt;=0),"6 - Out of stock",IF(OR(NOT(ISNUMBER(C192)),NOT(ISNUMBER(G192)),AND(ISNUMBER(F192),ISNUMBER(G192),F192&gt;G192)),"5 - Missing info",IF(YEAR(TODAY())&gt;G192,"1 - URGENT (past peak)",IF(YEAR(TODAY())=G192,"2 - Drink this year",IF(OR(NOT(ISNUMBER(F192)),YEAR(TODAY())&gt;=F192),"3 - Ready to drink","4 - Hold (too young)"))))))</f>
        <v/>
      </c>
      <c r="I192" s="11" t="str">
        <f aca="true">IF(OR(A192="",NOT(ISNUMBER(G192)),AND(ISNUMBER(C192),C192&lt;=0)),"",G192-YEAR(TODAY()))</f>
        <v/>
      </c>
      <c r="J192" s="9"/>
      <c r="K192" s="8"/>
      <c r="L192" s="9"/>
    </row>
    <row r="193" customFormat="false" ht="21.75" hidden="false" customHeight="true" outlineLevel="0" collapsed="false">
      <c r="A193" s="5"/>
      <c r="B193" s="6"/>
      <c r="C193" s="7"/>
      <c r="D193" s="8"/>
      <c r="E193" s="9"/>
      <c r="F193" s="6"/>
      <c r="G193" s="6"/>
      <c r="H193" s="10" t="str">
        <f aca="true">IF(A193="","",IF(AND(ISNUMBER(C193),C193&lt;=0),"6 - Out of stock",IF(OR(NOT(ISNUMBER(C193)),NOT(ISNUMBER(G193)),AND(ISNUMBER(F193),ISNUMBER(G193),F193&gt;G193)),"5 - Missing info",IF(YEAR(TODAY())&gt;G193,"1 - URGENT (past peak)",IF(YEAR(TODAY())=G193,"2 - Drink this year",IF(OR(NOT(ISNUMBER(F193)),YEAR(TODAY())&gt;=F193),"3 - Ready to drink","4 - Hold (too young)"))))))</f>
        <v/>
      </c>
      <c r="I193" s="11" t="str">
        <f aca="true">IF(OR(A193="",NOT(ISNUMBER(G193)),AND(ISNUMBER(C193),C193&lt;=0)),"",G193-YEAR(TODAY()))</f>
        <v/>
      </c>
      <c r="J193" s="9"/>
      <c r="K193" s="8"/>
      <c r="L193" s="9"/>
    </row>
    <row r="194" customFormat="false" ht="21.75" hidden="false" customHeight="true" outlineLevel="0" collapsed="false">
      <c r="A194" s="5"/>
      <c r="B194" s="6"/>
      <c r="C194" s="7"/>
      <c r="D194" s="8"/>
      <c r="E194" s="9"/>
      <c r="F194" s="6"/>
      <c r="G194" s="6"/>
      <c r="H194" s="10" t="str">
        <f aca="true">IF(A194="","",IF(AND(ISNUMBER(C194),C194&lt;=0),"6 - Out of stock",IF(OR(NOT(ISNUMBER(C194)),NOT(ISNUMBER(G194)),AND(ISNUMBER(F194),ISNUMBER(G194),F194&gt;G194)),"5 - Missing info",IF(YEAR(TODAY())&gt;G194,"1 - URGENT (past peak)",IF(YEAR(TODAY())=G194,"2 - Drink this year",IF(OR(NOT(ISNUMBER(F194)),YEAR(TODAY())&gt;=F194),"3 - Ready to drink","4 - Hold (too young)"))))))</f>
        <v/>
      </c>
      <c r="I194" s="11" t="str">
        <f aca="true">IF(OR(A194="",NOT(ISNUMBER(G194)),AND(ISNUMBER(C194),C194&lt;=0)),"",G194-YEAR(TODAY()))</f>
        <v/>
      </c>
      <c r="J194" s="9"/>
      <c r="K194" s="8"/>
      <c r="L194" s="9"/>
    </row>
    <row r="195" customFormat="false" ht="21.75" hidden="false" customHeight="true" outlineLevel="0" collapsed="false">
      <c r="A195" s="5"/>
      <c r="B195" s="6"/>
      <c r="C195" s="7"/>
      <c r="D195" s="8"/>
      <c r="E195" s="9"/>
      <c r="F195" s="6"/>
      <c r="G195" s="6"/>
      <c r="H195" s="10" t="str">
        <f aca="true">IF(A195="","",IF(AND(ISNUMBER(C195),C195&lt;=0),"6 - Out of stock",IF(OR(NOT(ISNUMBER(C195)),NOT(ISNUMBER(G195)),AND(ISNUMBER(F195),ISNUMBER(G195),F195&gt;G195)),"5 - Missing info",IF(YEAR(TODAY())&gt;G195,"1 - URGENT (past peak)",IF(YEAR(TODAY())=G195,"2 - Drink this year",IF(OR(NOT(ISNUMBER(F195)),YEAR(TODAY())&gt;=F195),"3 - Ready to drink","4 - Hold (too young)"))))))</f>
        <v/>
      </c>
      <c r="I195" s="11" t="str">
        <f aca="true">IF(OR(A195="",NOT(ISNUMBER(G195)),AND(ISNUMBER(C195),C195&lt;=0)),"",G195-YEAR(TODAY()))</f>
        <v/>
      </c>
      <c r="J195" s="9"/>
      <c r="K195" s="8"/>
      <c r="L195" s="9"/>
    </row>
    <row r="196" customFormat="false" ht="21.75" hidden="false" customHeight="true" outlineLevel="0" collapsed="false">
      <c r="A196" s="5"/>
      <c r="B196" s="6"/>
      <c r="C196" s="7"/>
      <c r="D196" s="8"/>
      <c r="E196" s="9"/>
      <c r="F196" s="6"/>
      <c r="G196" s="6"/>
      <c r="H196" s="10" t="str">
        <f aca="true">IF(A196="","",IF(AND(ISNUMBER(C196),C196&lt;=0),"6 - Out of stock",IF(OR(NOT(ISNUMBER(C196)),NOT(ISNUMBER(G196)),AND(ISNUMBER(F196),ISNUMBER(G196),F196&gt;G196)),"5 - Missing info",IF(YEAR(TODAY())&gt;G196,"1 - URGENT (past peak)",IF(YEAR(TODAY())=G196,"2 - Drink this year",IF(OR(NOT(ISNUMBER(F196)),YEAR(TODAY())&gt;=F196),"3 - Ready to drink","4 - Hold (too young)"))))))</f>
        <v/>
      </c>
      <c r="I196" s="11" t="str">
        <f aca="true">IF(OR(A196="",NOT(ISNUMBER(G196)),AND(ISNUMBER(C196),C196&lt;=0)),"",G196-YEAR(TODAY()))</f>
        <v/>
      </c>
      <c r="J196" s="9"/>
      <c r="K196" s="8"/>
      <c r="L196" s="9"/>
    </row>
    <row r="197" customFormat="false" ht="21.75" hidden="false" customHeight="true" outlineLevel="0" collapsed="false">
      <c r="A197" s="5"/>
      <c r="B197" s="6"/>
      <c r="C197" s="7"/>
      <c r="D197" s="8"/>
      <c r="E197" s="9"/>
      <c r="F197" s="6"/>
      <c r="G197" s="6"/>
      <c r="H197" s="10" t="str">
        <f aca="true">IF(A197="","",IF(AND(ISNUMBER(C197),C197&lt;=0),"6 - Out of stock",IF(OR(NOT(ISNUMBER(C197)),NOT(ISNUMBER(G197)),AND(ISNUMBER(F197),ISNUMBER(G197),F197&gt;G197)),"5 - Missing info",IF(YEAR(TODAY())&gt;G197,"1 - URGENT (past peak)",IF(YEAR(TODAY())=G197,"2 - Drink this year",IF(OR(NOT(ISNUMBER(F197)),YEAR(TODAY())&gt;=F197),"3 - Ready to drink","4 - Hold (too young)"))))))</f>
        <v/>
      </c>
      <c r="I197" s="11" t="str">
        <f aca="true">IF(OR(A197="",NOT(ISNUMBER(G197)),AND(ISNUMBER(C197),C197&lt;=0)),"",G197-YEAR(TODAY()))</f>
        <v/>
      </c>
      <c r="J197" s="9"/>
      <c r="K197" s="8"/>
      <c r="L197" s="9"/>
    </row>
    <row r="198" customFormat="false" ht="21.75" hidden="false" customHeight="true" outlineLevel="0" collapsed="false">
      <c r="A198" s="5"/>
      <c r="B198" s="6"/>
      <c r="C198" s="7"/>
      <c r="D198" s="8"/>
      <c r="E198" s="9"/>
      <c r="F198" s="6"/>
      <c r="G198" s="6"/>
      <c r="H198" s="10" t="str">
        <f aca="true">IF(A198="","",IF(AND(ISNUMBER(C198),C198&lt;=0),"6 - Out of stock",IF(OR(NOT(ISNUMBER(C198)),NOT(ISNUMBER(G198)),AND(ISNUMBER(F198),ISNUMBER(G198),F198&gt;G198)),"5 - Missing info",IF(YEAR(TODAY())&gt;G198,"1 - URGENT (past peak)",IF(YEAR(TODAY())=G198,"2 - Drink this year",IF(OR(NOT(ISNUMBER(F198)),YEAR(TODAY())&gt;=F198),"3 - Ready to drink","4 - Hold (too young)"))))))</f>
        <v/>
      </c>
      <c r="I198" s="11" t="str">
        <f aca="true">IF(OR(A198="",NOT(ISNUMBER(G198)),AND(ISNUMBER(C198),C198&lt;=0)),"",G198-YEAR(TODAY()))</f>
        <v/>
      </c>
      <c r="J198" s="9"/>
      <c r="K198" s="8"/>
      <c r="L198" s="9"/>
    </row>
    <row r="199" customFormat="false" ht="21.75" hidden="false" customHeight="true" outlineLevel="0" collapsed="false">
      <c r="A199" s="5"/>
      <c r="B199" s="6"/>
      <c r="C199" s="7"/>
      <c r="D199" s="8"/>
      <c r="E199" s="9"/>
      <c r="F199" s="6"/>
      <c r="G199" s="6"/>
      <c r="H199" s="10" t="str">
        <f aca="true">IF(A199="","",IF(AND(ISNUMBER(C199),C199&lt;=0),"6 - Out of stock",IF(OR(NOT(ISNUMBER(C199)),NOT(ISNUMBER(G199)),AND(ISNUMBER(F199),ISNUMBER(G199),F199&gt;G199)),"5 - Missing info",IF(YEAR(TODAY())&gt;G199,"1 - URGENT (past peak)",IF(YEAR(TODAY())=G199,"2 - Drink this year",IF(OR(NOT(ISNUMBER(F199)),YEAR(TODAY())&gt;=F199),"3 - Ready to drink","4 - Hold (too young)"))))))</f>
        <v/>
      </c>
      <c r="I199" s="11" t="str">
        <f aca="true">IF(OR(A199="",NOT(ISNUMBER(G199)),AND(ISNUMBER(C199),C199&lt;=0)),"",G199-YEAR(TODAY()))</f>
        <v/>
      </c>
      <c r="J199" s="9"/>
      <c r="K199" s="8"/>
      <c r="L199" s="9"/>
    </row>
    <row r="200" customFormat="false" ht="21.75" hidden="false" customHeight="true" outlineLevel="0" collapsed="false">
      <c r="A200" s="5"/>
      <c r="B200" s="6"/>
      <c r="C200" s="7"/>
      <c r="D200" s="8"/>
      <c r="E200" s="9"/>
      <c r="F200" s="6"/>
      <c r="G200" s="6"/>
      <c r="H200" s="10" t="str">
        <f aca="true">IF(A200="","",IF(AND(ISNUMBER(C200),C200&lt;=0),"6 - Out of stock",IF(OR(NOT(ISNUMBER(C200)),NOT(ISNUMBER(G200)),AND(ISNUMBER(F200),ISNUMBER(G200),F200&gt;G200)),"5 - Missing info",IF(YEAR(TODAY())&gt;G200,"1 - URGENT (past peak)",IF(YEAR(TODAY())=G200,"2 - Drink this year",IF(OR(NOT(ISNUMBER(F200)),YEAR(TODAY())&gt;=F200),"3 - Ready to drink","4 - Hold (too young)"))))))</f>
        <v/>
      </c>
      <c r="I200" s="11" t="str">
        <f aca="true">IF(OR(A200="",NOT(ISNUMBER(G200)),AND(ISNUMBER(C200),C200&lt;=0)),"",G200-YEAR(TODAY()))</f>
        <v/>
      </c>
      <c r="J200" s="9"/>
      <c r="K200" s="8"/>
      <c r="L200" s="9"/>
    </row>
    <row r="201" customFormat="false" ht="21.75" hidden="false" customHeight="true" outlineLevel="0" collapsed="false">
      <c r="A201" s="5"/>
      <c r="B201" s="6"/>
      <c r="C201" s="7"/>
      <c r="D201" s="8"/>
      <c r="E201" s="9"/>
      <c r="F201" s="6"/>
      <c r="G201" s="6"/>
      <c r="H201" s="10" t="str">
        <f aca="true">IF(A201="","",IF(AND(ISNUMBER(C201),C201&lt;=0),"6 - Out of stock",IF(OR(NOT(ISNUMBER(C201)),NOT(ISNUMBER(G201)),AND(ISNUMBER(F201),ISNUMBER(G201),F201&gt;G201)),"5 - Missing info",IF(YEAR(TODAY())&gt;G201,"1 - URGENT (past peak)",IF(YEAR(TODAY())=G201,"2 - Drink this year",IF(OR(NOT(ISNUMBER(F201)),YEAR(TODAY())&gt;=F201),"3 - Ready to drink","4 - Hold (too young)"))))))</f>
        <v/>
      </c>
      <c r="I201" s="11" t="str">
        <f aca="true">IF(OR(A201="",NOT(ISNUMBER(G201)),AND(ISNUMBER(C201),C201&lt;=0)),"",G201-YEAR(TODAY()))</f>
        <v/>
      </c>
      <c r="J201" s="9"/>
      <c r="K201" s="8"/>
      <c r="L201" s="9"/>
    </row>
  </sheetData>
  <autoFilter ref="A1:L201"/>
  <conditionalFormatting sqref="H2:H201">
    <cfRule type="cellIs" priority="2" operator="equal" aboveAverage="0" equalAverage="0" bottom="0" percent="0" rank="0" text="" dxfId="12">
      <formula>"1 - URGENT (past peak)"</formula>
    </cfRule>
    <cfRule type="cellIs" priority="3" operator="equal" aboveAverage="0" equalAverage="0" bottom="0" percent="0" rank="0" text="" dxfId="13">
      <formula>"2 - Drink this year"</formula>
    </cfRule>
    <cfRule type="cellIs" priority="4" operator="equal" aboveAverage="0" equalAverage="0" bottom="0" percent="0" rank="0" text="" dxfId="14">
      <formula>"3 - Ready to drink"</formula>
    </cfRule>
    <cfRule type="cellIs" priority="5" operator="equal" aboveAverage="0" equalAverage="0" bottom="0" percent="0" rank="0" text="" dxfId="15">
      <formula>"4 - Hold (too young)"</formula>
    </cfRule>
    <cfRule type="cellIs" priority="6" operator="equal" aboveAverage="0" equalAverage="0" bottom="0" percent="0" rank="0" text="" dxfId="16">
      <formula>"5 - Missing info"</formula>
    </cfRule>
    <cfRule type="cellIs" priority="7" operator="equal" aboveAverage="0" equalAverage="0" bottom="0" percent="0" rank="0" text="" dxfId="17">
      <formula>"6 - Out of stock"</formula>
    </cfRule>
  </conditionalFormatting>
  <conditionalFormatting sqref="D2:D201">
    <cfRule type="cellIs" priority="8" operator="equal" aboveAverage="0" equalAverage="0" bottom="0" percent="0" rank="0" text="" dxfId="18">
      <formula>"Red"</formula>
    </cfRule>
    <cfRule type="cellIs" priority="9" operator="equal" aboveAverage="0" equalAverage="0" bottom="0" percent="0" rank="0" text="" dxfId="19">
      <formula>"White"</formula>
    </cfRule>
    <cfRule type="cellIs" priority="10" operator="equal" aboveAverage="0" equalAverage="0" bottom="0" percent="0" rank="0" text="" dxfId="20">
      <formula>"Sparkling"</formula>
    </cfRule>
    <cfRule type="cellIs" priority="11" operator="equal" aboveAverage="0" equalAverage="0" bottom="0" percent="0" rank="0" text="" dxfId="21">
      <formula>"Rosé"</formula>
    </cfRule>
  </conditionalFormatting>
  <conditionalFormatting sqref="I2:I201">
    <cfRule type="cellIs" priority="12" operator="lessThanOrEqual" aboveAverage="0" equalAverage="0" bottom="0" percent="0" rank="0" text="" dxfId="22">
      <formula>0</formula>
    </cfRule>
  </conditionalFormatting>
  <conditionalFormatting sqref="A2:L201">
    <cfRule type="expression" priority="13" aboveAverage="0" equalAverage="0" bottom="0" percent="0" rank="0" text="" dxfId="23">
      <formula>AND($A2&lt;&gt;"", ISNUMBER($C2), $C2&lt;=0)</formula>
    </cfRule>
  </conditionalFormatting>
  <dataValidations count="4">
    <dataValidation allowBlank="true" errorStyle="stop" operator="between" showDropDown="false" showErrorMessage="false" showInputMessage="false" sqref="D2:D201" type="list">
      <formula1>"Red,White,Rosé,Sparkling"</formula1>
      <formula2>0</formula2>
    </dataValidation>
    <dataValidation allowBlank="true" error="Vous pouvez saisir plusieurs accords séparés par une virgule." errorStyle="warning" errorTitle="Accords mets-vins" operator="between" showDropDown="false" showErrorMessage="true" showInputMessage="false" sqref="J2:J201" type="list">
      <formula1>"Aperitif,Cooked fish,Oysters / Raw seafood,Poultry / White meat,Red meat / Duck,Stew / Game,Hard cheese,Pizza / Pasta / Charcuterie,Spicy food,Dessert"</formula1>
      <formula2>0</formula2>
    </dataValidation>
    <dataValidation allowBlank="true" error="Saisir une année à 4 chiffres (ex. 2020) ou laisser vide." errorStyle="stop" errorTitle="Année invalide" operator="between" showDropDown="false" showErrorMessage="true" showInputMessage="false" sqref="B2:B201 F2:G201" type="whole">
      <formula1>1900</formula1>
      <formula2>2100</formula2>
    </dataValidation>
    <dataValidation allowBlank="true" error="Saisir un nombre entier supérieur ou égal à 0." errorStyle="stop" errorTitle="Quantité invalide" operator="between" showDropDown="false" showErrorMessage="true" showInputMessage="false" sqref="C2:C201" type="whole">
      <formula1>0</formula1>
      <formula2>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2026-10-18T13:23:07Z</dcterms:created>
  <dc:creator>openpyxl</dc:creator>
  <dc:description/>
  <dc:language>en-US</dc:language>
  <cp:lastModifiedBy/>
  <dcterms:modified xsi:type="dcterms:W3CDTF">2026-10-18T19:30:56Z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